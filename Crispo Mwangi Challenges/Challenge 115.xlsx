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88" documentId="8_{A0A33271-2F5C-471C-A085-90E33C7B100D}" xr6:coauthVersionLast="47" xr6:coauthVersionMax="47" xr10:uidLastSave="{088E4619-8E62-4EC1-93F5-C39B2B009330}"/>
  <bookViews>
    <workbookView xWindow="-120" yWindow="-120" windowWidth="29040" windowHeight="15720" xr2:uid="{01C07523-956D-49DD-B8E7-BDEF3D02612B}"/>
  </bookViews>
  <sheets>
    <sheet name="115" sheetId="11" r:id="rId1"/>
  </sheets>
  <definedNames>
    <definedName name="ExternalData_1" localSheetId="0" hidden="1">'115'!$L$7:$M$9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1" l="1" a="1"/>
  <c r="O7" i="11" a="1"/>
  <c r="L3" i="11" a="1"/>
  <c r="L12" i="11" l="1"/>
  <c r="O12" i="11" a="1"/>
  <c r="O7" i="11"/>
  <c r="L3" i="11"/>
  <c r="O12" i="11" l="1"/>
  <c r="O3" i="11" a="1"/>
  <c r="O3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55B54B-5375-476F-A082-85328CF96DE0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 = True)
prod = sorted(list(set(df["Product"])))
def fxGetFirstDropIndex(pr):
    filtered = df[df["Product"] == pr]
    prices = list(filtered["Price"])
    p = prices[0]
    i = 0
    for price in prices[1:]:
        if price &lt; p:
            return i + 1
        i += 1
        p = price
    return -1
def fxGetFirstDropDate(pr, i):
    filtered = df[df["Product"] == pr]["Date"]
    if i == -1:
        return "-"
    return filtered.iloc[i]
df = pd.DataFrame({"Product": prod, "First Drop Date": [fxGetFirstDropDate(pr, fxGetFirstDropIndex(pr)) for pr in prod]})
df</code>
    </pythonScript>
  </pythonScripts>
</python>
</file>

<file path=xl/sharedStrings.xml><?xml version="1.0" encoding="utf-8"?>
<sst xmlns="http://schemas.openxmlformats.org/spreadsheetml/2006/main" count="23" uniqueCount="12">
  <si>
    <t>Problem</t>
  </si>
  <si>
    <t>Solution</t>
  </si>
  <si>
    <t>Product</t>
  </si>
  <si>
    <t>Date</t>
  </si>
  <si>
    <t>Price</t>
  </si>
  <si>
    <t>First Drop Date</t>
  </si>
  <si>
    <t>A</t>
  </si>
  <si>
    <t>B</t>
  </si>
  <si>
    <t>Easy Sunday Excel Challenge</t>
  </si>
  <si>
    <t>⭐Detect the First Price Drop Challenge</t>
  </si>
  <si>
    <t>⭐Price drops compared to the previous date for each product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</si>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</sst>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9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6" fontId="0" fillId="0" borderId="4" xfId="0" applyNumberFormat="1" applyBorder="1" applyAlignment="1">
      <alignment vertical="center" wrapText="1"/>
    </xf>
    <xf numFmtId="16" fontId="0" fillId="0" borderId="6" xfId="0" applyNumberFormat="1" applyBorder="1" applyAlignment="1">
      <alignment vertical="center" wrapText="1"/>
    </xf>
    <xf numFmtId="0" fontId="5" fillId="0" borderId="0" xfId="0" applyFont="1"/>
    <xf numFmtId="14" fontId="0" fillId="0" borderId="7" xfId="0" applyNumberFormat="1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  <xf numFmtId="14" fontId="0" fillId="0" borderId="0" xfId="0" applyNumberFormat="1"/>
  </cellXfs>
  <cellStyles count="1">
    <cellStyle name="Normalny" xfId="0" builtinId="0"/>
  </cellStyles>
  <dxfs count="14">
    <dxf>
      <numFmt numFmtId="19" formatCode="d/mm/yyyy"/>
    </dxf>
    <dxf>
      <numFmt numFmtId="19" formatCode="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\-mm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3B662381-9B4D-4F06-A01F-26EC8694FA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9524</xdr:rowOff>
    </xdr:from>
    <xdr:to>
      <xdr:col>8</xdr:col>
      <xdr:colOff>48457</xdr:colOff>
      <xdr:row>18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690721-CC30-4A5E-8604-8F08993D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2724"/>
          <a:ext cx="5010982" cy="885825"/>
        </a:xfrm>
        <a:prstGeom prst="rect">
          <a:avLst/>
        </a:prstGeom>
      </xdr:spPr>
    </xdr:pic>
    <xdr:clientData/>
  </xdr:twoCellAnchor>
  <xdr:oneCellAnchor>
    <xdr:from>
      <xdr:col>7</xdr:col>
      <xdr:colOff>114299</xdr:colOff>
      <xdr:row>0</xdr:row>
      <xdr:rowOff>114300</xdr:rowOff>
    </xdr:from>
    <xdr:ext cx="1514475" cy="2164473"/>
    <xdr:pic>
      <xdr:nvPicPr>
        <xdr:cNvPr id="3" name="Picture 2">
          <a:extLst>
            <a:ext uri="{FF2B5EF4-FFF2-40B4-BE49-F238E27FC236}">
              <a16:creationId xmlns:a16="http://schemas.microsoft.com/office/drawing/2014/main" id="{9691D13A-2532-4765-8BA3-17F9A9816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4274" y="114300"/>
          <a:ext cx="1514475" cy="2164473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E56435-C527-43FC-B91C-08D87372698B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First Drop Dat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46032</fb>
    <v>0</v>
  </rv>
  <rv s="0">
    <fb>46029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89000-1396-46C8-ABAE-33B0D5E573DC}" name="tblStart" displayName="tblStart" ref="B3:D9" totalsRowShown="0" headerRowDxfId="13" headerRowBorderDxfId="12" tableBorderDxfId="11" totalsRowBorderDxfId="10">
  <autoFilter ref="B3:D9" xr:uid="{E6189000-1396-46C8-ABAE-33B0D5E573DC}">
    <filterColumn colId="0" hiddenButton="1"/>
    <filterColumn colId="1" hiddenButton="1"/>
    <filterColumn colId="2" hiddenButton="1"/>
  </autoFilter>
  <tableColumns count="3">
    <tableColumn id="1" xr3:uid="{234C4153-D646-402F-9713-09877213BCEA}" name="Product" dataDxfId="9"/>
    <tableColumn id="2" xr3:uid="{E661E5F5-CD4B-48CD-B767-3213EE6D73FD}" name="Date" dataDxfId="1"/>
    <tableColumn id="3" xr3:uid="{2A8DAF39-672D-40B2-A237-42E0C7789AA9}" name="Price" dataDxfId="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0BC01-E0E6-4C48-A78E-EC49299F0199}" name="Table2" displayName="Table2" ref="F3:G5" totalsRowShown="0" headerRowDxfId="7" headerRowBorderDxfId="6" tableBorderDxfId="5" totalsRowBorderDxfId="4">
  <autoFilter ref="F3:G5" xr:uid="{0150BC01-E0E6-4C48-A78E-EC49299F0199}">
    <filterColumn colId="0" hiddenButton="1"/>
    <filterColumn colId="1" hiddenButton="1"/>
  </autoFilter>
  <tableColumns count="2">
    <tableColumn id="1" xr3:uid="{5B23447F-2E38-40ED-B87D-DD47EC95EC65}" name="Product" dataDxfId="3"/>
    <tableColumn id="2" xr3:uid="{4AFDC8D9-B71C-442B-B608-CB2DA14A303D}" name="First Drop Date" dataDxfId="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E49A28-DE43-4DED-86DF-1EA08C03FAFB}" name="tblSolution" displayName="tblSolution" ref="L7:M9" tableType="queryTable" totalsRowShown="0">
  <autoFilter ref="L7:M9" xr:uid="{5EE49A28-DE43-4DED-86DF-1EA08C03FAFB}"/>
  <tableColumns count="2">
    <tableColumn id="1" xr3:uid="{A80DBD19-BA1D-471F-87BF-F2E7421B8B5F}" uniqueName="1" name="Product" queryTableFieldId="1"/>
    <tableColumn id="2" xr3:uid="{5719201C-544E-49A8-81CD-789E1D419C46}" uniqueName="2" name="First Drop Dat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15C6-7905-4888-B9E1-7E16778B0FE2}">
  <dimension ref="B2:P14"/>
  <sheetViews>
    <sheetView showGridLines="0" tabSelected="1" workbookViewId="0">
      <selection activeCell="M12" sqref="M12"/>
    </sheetView>
  </sheetViews>
  <sheetFormatPr defaultRowHeight="15" x14ac:dyDescent="0.25"/>
  <cols>
    <col min="1" max="1" width="4" customWidth="1"/>
    <col min="2" max="2" width="7.85546875" bestFit="1" customWidth="1"/>
    <col min="3" max="3" width="17.7109375" customWidth="1"/>
    <col min="4" max="4" width="5.42578125" bestFit="1" customWidth="1"/>
    <col min="5" max="5" width="6.140625" customWidth="1"/>
    <col min="6" max="6" width="7.85546875" bestFit="1" customWidth="1"/>
    <col min="7" max="7" width="16.28515625" customWidth="1"/>
    <col min="12" max="12" width="11" bestFit="1" customWidth="1"/>
    <col min="13" max="13" width="16.5703125" bestFit="1" customWidth="1"/>
    <col min="15" max="15" width="11" bestFit="1" customWidth="1"/>
  </cols>
  <sheetData>
    <row r="2" spans="2:16" x14ac:dyDescent="0.25">
      <c r="B2" s="3" t="s">
        <v>0</v>
      </c>
      <c r="F2" s="13" t="s">
        <v>1</v>
      </c>
    </row>
    <row r="3" spans="2:16" x14ac:dyDescent="0.25">
      <c r="B3" s="4" t="s">
        <v>2</v>
      </c>
      <c r="C3" s="5" t="s">
        <v>3</v>
      </c>
      <c r="D3" s="6" t="s">
        <v>4</v>
      </c>
      <c r="F3" s="4" t="s">
        <v>2</v>
      </c>
      <c r="G3" s="6" t="s">
        <v>5</v>
      </c>
      <c r="L3" t="str" cm="1">
        <f t="array" ref="L3:M5">_xlfn.LET(
_xlpm._data_, tblStart[],
_xlpm._sort_, _xlfn._xlws.SORT(_xlpm._data_, 2, 1),
_xlpm._products_, _xlfn.CHOOSECOLS(_xlpm._sort_, 1),
_xlpm._dates_, _xlfn.CHOOSECOLS(_xlpm._sort_, 2),
_xlpm._prices_, _xlfn.CHOOSECOLS(_xlpm._sort_, 3),
_xlpm._up_, _xlfn.UNIQUE(_xlpm._products_),
_xlpm._mp_, _xlfn.MAP(_xlpm._up_, _xlfn.LAMBDA(_xlpm.p, _xlfn.LET(_xlpm.fp, _xlfn._xlws.FILTER(_xlpm._prices_, _xlpm._products_ = _xlpm.p), _xlpm.fd, _xlfn._xlws.FILTER(_xlpm._dates_, _xlpm._products_ = _xlpm.p), _xlpm.sc, _xlfn.SCAN(0, _xlpm.fp, _xlfn.LAMBDA(_xlpm.s,_xlpm.c, IF( _xlpm.c &lt; _xlpm.s, "a", _xlpm.c))), _xlpm.xp, _xlfn.XMATCH("a",_xlpm.sc,0,1), _xlpm.r, _xlfn.IFNA(INDEX(_xlpm.fd,_xlpm.xp), "-"), _xlpm.r))),
_xlpm._headers_, {"Product","First Drop Date"},
_xlpm._sol_, _xlfn.VSTACK(_xlpm._headers_, _xlfn.HSTACK(_xlpm._up_, _xlpm._mp_)),
_xlpm._sol_)</f>
        <v>Product</v>
      </c>
      <c r="M3" t="str">
        <v>First Drop Date</v>
      </c>
      <c r="O3" t="b" cm="1">
        <f t="array" ref="O3:P5">_xlfn.ANCHORARRAY(L3)=Table2[#All]</f>
        <v>1</v>
      </c>
      <c r="P3" t="b">
        <v>1</v>
      </c>
    </row>
    <row r="4" spans="2:16" x14ac:dyDescent="0.25">
      <c r="B4" s="7" t="s">
        <v>6</v>
      </c>
      <c r="C4" s="14">
        <v>46023</v>
      </c>
      <c r="D4" s="8">
        <v>100</v>
      </c>
      <c r="F4" s="7" t="s">
        <v>6</v>
      </c>
      <c r="G4" s="11">
        <v>46032</v>
      </c>
      <c r="L4" t="str">
        <v>A</v>
      </c>
      <c r="M4" s="16">
        <v>46032</v>
      </c>
      <c r="O4" t="b">
        <v>1</v>
      </c>
      <c r="P4" t="b">
        <v>1</v>
      </c>
    </row>
    <row r="5" spans="2:16" x14ac:dyDescent="0.25">
      <c r="B5" s="7" t="s">
        <v>6</v>
      </c>
      <c r="C5" s="14">
        <v>46027</v>
      </c>
      <c r="D5" s="8">
        <v>120</v>
      </c>
      <c r="F5" s="9" t="s">
        <v>7</v>
      </c>
      <c r="G5" s="12">
        <v>46029</v>
      </c>
      <c r="L5" t="str">
        <v>B</v>
      </c>
      <c r="M5" s="16">
        <v>46029</v>
      </c>
      <c r="O5" t="b">
        <v>1</v>
      </c>
      <c r="P5" t="b">
        <v>1</v>
      </c>
    </row>
    <row r="6" spans="2:16" x14ac:dyDescent="0.25">
      <c r="B6" s="7" t="s">
        <v>6</v>
      </c>
      <c r="C6" s="14">
        <v>46032</v>
      </c>
      <c r="D6" s="8">
        <v>90</v>
      </c>
    </row>
    <row r="7" spans="2:16" x14ac:dyDescent="0.25">
      <c r="B7" s="7" t="s">
        <v>7</v>
      </c>
      <c r="C7" s="14">
        <v>46023</v>
      </c>
      <c r="D7" s="8">
        <v>80</v>
      </c>
      <c r="L7" t="s">
        <v>2</v>
      </c>
      <c r="M7" t="s">
        <v>5</v>
      </c>
      <c r="O7" t="b" cm="1">
        <f t="array" ref="O7:P9">tblSolution[#All]=Table2[#All]</f>
        <v>1</v>
      </c>
      <c r="P7" t="b">
        <v>1</v>
      </c>
    </row>
    <row r="8" spans="2:16" x14ac:dyDescent="0.25">
      <c r="B8" s="7" t="s">
        <v>7</v>
      </c>
      <c r="C8" s="14">
        <v>46025</v>
      </c>
      <c r="D8" s="8">
        <v>200</v>
      </c>
      <c r="L8" t="s">
        <v>6</v>
      </c>
      <c r="M8" s="16">
        <v>46032</v>
      </c>
      <c r="O8" t="b">
        <v>1</v>
      </c>
      <c r="P8" t="b">
        <v>1</v>
      </c>
    </row>
    <row r="9" spans="2:16" x14ac:dyDescent="0.25">
      <c r="B9" s="9" t="s">
        <v>7</v>
      </c>
      <c r="C9" s="15">
        <v>46029</v>
      </c>
      <c r="D9" s="10">
        <v>120</v>
      </c>
      <c r="L9" t="s">
        <v>7</v>
      </c>
      <c r="M9" s="16">
        <v>46029</v>
      </c>
      <c r="O9" t="b">
        <v>1</v>
      </c>
      <c r="P9" t="b">
        <v>1</v>
      </c>
    </row>
    <row r="11" spans="2:16" ht="18.75" x14ac:dyDescent="0.3">
      <c r="B11" s="1" t="s">
        <v>8</v>
      </c>
    </row>
    <row r="12" spans="2:16" ht="15.75" x14ac:dyDescent="0.25">
      <c r="B12" s="2" t="s">
        <v>9</v>
      </c>
      <c r="L12" t="str" cm="1">
        <f t="array" ref="L12:M14">_xlfn._xlws.PY(0,0,B3:D9)</f>
        <v>Product</v>
      </c>
      <c r="M12" t="str">
        <v>First Drop Date</v>
      </c>
      <c r="O12" t="b" cm="1">
        <f t="array" ref="O12:P14">_xlfn.ANCHORARRAY(L12)=Table2[#All]</f>
        <v>1</v>
      </c>
      <c r="P12" t="b">
        <v>1</v>
      </c>
    </row>
    <row r="13" spans="2:16" ht="15.75" x14ac:dyDescent="0.25">
      <c r="B13" s="2" t="s">
        <v>10</v>
      </c>
      <c r="L13" t="str">
        <v>A</v>
      </c>
      <c r="M13" vm="1">
        <v>46032</v>
      </c>
      <c r="O13" t="b">
        <v>1</v>
      </c>
      <c r="P13" t="b">
        <v>1</v>
      </c>
    </row>
    <row r="14" spans="2:16" ht="15.75" x14ac:dyDescent="0.25">
      <c r="B14" s="2" t="s">
        <v>11</v>
      </c>
      <c r="L14" t="str">
        <v>B</v>
      </c>
      <c r="M14" vm="2">
        <v>46029</v>
      </c>
      <c r="O14" t="b">
        <v>1</v>
      </c>
      <c r="P14" t="b">
        <v>1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D74F19-0FCD-4F77-AA08-63F6AFC537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2026-05-09T11:54:05Z</dcterms:modified>
  <cp:category/>
  <cp:contentStatus/>
</cp:coreProperties>
</file>