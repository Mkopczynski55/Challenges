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codeName="Ten_skoroszyt"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CrispoMwangi/"/>
    </mc:Choice>
  </mc:AlternateContent>
  <xr:revisionPtr revIDLastSave="122" documentId="8_{26C3EB15-9363-48C8-A2A2-D2D80F2E0643}" xr6:coauthVersionLast="47" xr6:coauthVersionMax="47" xr10:uidLastSave="{1557F7E7-6D88-4CA4-81A6-89B74CC2958F}"/>
  <bookViews>
    <workbookView xWindow="-120" yWindow="-120" windowWidth="29040" windowHeight="15720" xr2:uid="{01C07523-956D-49DD-B8E7-BDEF3D02612B}"/>
  </bookViews>
  <sheets>
    <sheet name="99" sheetId="5" r:id="rId1"/>
    <sheet name="100" sheetId="6" r:id="rId2"/>
  </sheets>
  <definedNames>
    <definedName name="ExternalData_1" localSheetId="1" hidden="1">'100'!$L$13:$L$22</definedName>
    <definedName name="ExternalData_1" localSheetId="0" hidden="1">'99'!$M$11:$P$16</definedName>
    <definedName name="rngStart">'99'!$B$3:$K$8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5" l="1" a="1"/>
  <c r="M20" i="5" s="1"/>
  <c r="R11" i="5" a="1"/>
  <c r="R11" i="5" s="1"/>
  <c r="R3" i="6" a="1"/>
  <c r="R3" i="6" s="1"/>
  <c r="P3" i="6" a="1"/>
  <c r="P3" i="6" s="1"/>
  <c r="N14" i="6" a="1"/>
  <c r="N14" i="6" s="1"/>
  <c r="L3" i="6" a="1"/>
  <c r="R20" i="5" l="1" a="1"/>
  <c r="L3" i="6"/>
  <c r="N3" i="6" a="1"/>
  <c r="N3" i="6" s="1"/>
  <c r="R20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BFB913-276D-4CFB-911D-0CEA0740B010}" keepAlive="1" name="Zapytanie — tblSolution100" description="Połączenie z zapytaniem „tblSolution100” w skoroszycie." type="5" refreshedVersion="8" background="1" saveData="1">
    <dbPr connection="Provider=Microsoft.Mashup.OleDb.1;Data Source=$Workbook$;Location=tblSolution100;Extended Properties=&quot;&quot;" command="SELECT * FROM [tblSolution100]"/>
  </connection>
  <connection id="2" xr16:uid="{9CE83A36-08F3-4BA8-8537-856F4FD5871A}" keepAlive="1" name="Zapytanie — tblSolution99" description="Połączenie z zapytaniem „tblSolution99” w skoroszycie." type="5" refreshedVersion="8" background="1" saveData="1">
    <dbPr connection="Provider=Microsoft.Mashup.OleDb.1;Data Source=$Workbook$;Location=tblSolution99;Extended Properties=&quot;&quot;" command="SELECT * FROM [tblSolution99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 = xl(%P2%, headers=True)
n = xl(%P3%)
res= []
for x in list(df["Items"]):
    for _ in range(n):
        res.append(x)
res</code>
    </pythonScript>
  </pythonScripts>
</python>
</file>

<file path=xl/sharedStrings.xml><?xml version="1.0" encoding="utf-8"?>
<sst xmlns="http://schemas.openxmlformats.org/spreadsheetml/2006/main" count="99" uniqueCount="36">
  <si>
    <t>Problem</t>
  </si>
  <si>
    <t>Solution</t>
  </si>
  <si>
    <t>offer 1</t>
  </si>
  <si>
    <t>offer 2</t>
  </si>
  <si>
    <t>offer 3</t>
  </si>
  <si>
    <t>2nd Lowest</t>
  </si>
  <si>
    <t>Item</t>
  </si>
  <si>
    <t>Cost</t>
  </si>
  <si>
    <t>TP</t>
  </si>
  <si>
    <t>Note</t>
  </si>
  <si>
    <t>Amount</t>
  </si>
  <si>
    <t>Offer</t>
  </si>
  <si>
    <t>NA</t>
  </si>
  <si>
    <t>Easy Sunday Excel Challenge</t>
  </si>
  <si>
    <t>⭐Lookup the Lowest and 2nd Lowest cost</t>
  </si>
  <si>
    <t>⭐Ignore Zero Amounts</t>
  </si>
  <si>
    <t>⭐Ignore Offers with a "NA" Note</t>
  </si>
  <si>
    <t>⭐Solution MUST be dynamic</t>
  </si>
  <si>
    <t>Repeat:</t>
  </si>
  <si>
    <t>Items</t>
  </si>
  <si>
    <t>Apple</t>
  </si>
  <si>
    <t>⭐Repeat Items in the table N times</t>
  </si>
  <si>
    <t>Mango</t>
  </si>
  <si>
    <t>⭐Maintain the Items Order</t>
  </si>
  <si>
    <t>Kiwi</t>
  </si>
  <si>
    <t>To Support the Challenges</t>
  </si>
  <si>
    <t>Buy the Book</t>
  </si>
  <si>
    <t>Frutis</t>
  </si>
  <si>
    <t>Lowest</t>
  </si>
  <si>
    <t xml:space="preserve"> </t>
  </si>
  <si>
    <t xml:space="preserve">  </t>
  </si>
  <si>
    <t>11</t>
  </si>
  <si>
    <t>17</t>
  </si>
  <si>
    <t>20</t>
  </si>
  <si>
    <t>39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</si>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</sst>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b/>
      <sz val="11"/>
      <color rgb="FF00B05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theme="9" tint="-0.249977111117893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 applyAlignment="1">
      <alignment horizontal="center"/>
    </xf>
    <xf numFmtId="0" fontId="2" fillId="0" borderId="2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1" xfId="0" applyFont="1" applyBorder="1" applyAlignment="1">
      <alignment horizontal="centerContinuous" vertical="center"/>
    </xf>
    <xf numFmtId="0" fontId="2" fillId="0" borderId="3" xfId="0" applyFont="1" applyBorder="1" applyAlignment="1">
      <alignment vertical="top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0" fillId="0" borderId="3" xfId="0" applyBorder="1"/>
    <xf numFmtId="0" fontId="6" fillId="0" borderId="2" xfId="0" applyFont="1" applyBorder="1" applyAlignment="1">
      <alignment horizontal="centerContinuous"/>
    </xf>
    <xf numFmtId="0" fontId="6" fillId="0" borderId="1" xfId="0" applyFont="1" applyBorder="1" applyAlignment="1">
      <alignment horizontal="centerContinuous"/>
    </xf>
    <xf numFmtId="0" fontId="6" fillId="0" borderId="0" xfId="0" applyFont="1"/>
    <xf numFmtId="0" fontId="6" fillId="0" borderId="3" xfId="0" applyFont="1" applyBorder="1" applyAlignment="1">
      <alignment horizontal="center"/>
    </xf>
    <xf numFmtId="0" fontId="0" fillId="0" borderId="9" xfId="0" applyBorder="1"/>
    <xf numFmtId="0" fontId="8" fillId="0" borderId="7" xfId="0" applyFont="1" applyBorder="1"/>
    <xf numFmtId="0" fontId="8" fillId="0" borderId="8" xfId="0" applyFont="1" applyBorder="1"/>
    <xf numFmtId="0" fontId="10" fillId="0" borderId="0" xfId="0" applyFont="1"/>
    <xf numFmtId="0" fontId="9" fillId="0" borderId="10" xfId="0" applyFont="1" applyBorder="1"/>
    <xf numFmtId="0" fontId="7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0" xfId="0" applyNumberFormat="1"/>
  </cellXfs>
  <cellStyles count="2">
    <cellStyle name="Hiperłącze" xfId="1" builtinId="8"/>
    <cellStyle name="Normalny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C5F177B6-B0BB-4288-B1FE-29FFCB3437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3/09/relationships/Python" Target="python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180975</xdr:colOff>
      <xdr:row>0</xdr:row>
      <xdr:rowOff>66675</xdr:rowOff>
    </xdr:from>
    <xdr:to>
      <xdr:col>29</xdr:col>
      <xdr:colOff>352128</xdr:colOff>
      <xdr:row>6</xdr:row>
      <xdr:rowOff>9524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F3B00D-4DB5-4009-8034-E0031CEBB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5350" y="66675"/>
          <a:ext cx="5657553" cy="1000124"/>
        </a:xfrm>
        <a:prstGeom prst="rect">
          <a:avLst/>
        </a:prstGeom>
      </xdr:spPr>
    </xdr:pic>
    <xdr:clientData/>
  </xdr:twoCellAnchor>
  <xdr:oneCellAnchor>
    <xdr:from>
      <xdr:col>16</xdr:col>
      <xdr:colOff>257175</xdr:colOff>
      <xdr:row>1</xdr:row>
      <xdr:rowOff>112797</xdr:rowOff>
    </xdr:from>
    <xdr:ext cx="1238250" cy="1500701"/>
    <xdr:pic>
      <xdr:nvPicPr>
        <xdr:cNvPr id="3" name="Picture 2">
          <a:extLst>
            <a:ext uri="{FF2B5EF4-FFF2-40B4-BE49-F238E27FC236}">
              <a16:creationId xmlns:a16="http://schemas.microsoft.com/office/drawing/2014/main" id="{E11EA2D2-4AD2-465F-BBF4-A23BF917F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0800" y="198522"/>
          <a:ext cx="1238250" cy="150070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6</xdr:row>
      <xdr:rowOff>57150</xdr:rowOff>
    </xdr:from>
    <xdr:ext cx="1238250" cy="1500701"/>
    <xdr:pic>
      <xdr:nvPicPr>
        <xdr:cNvPr id="2" name="Picture 1">
          <a:extLst>
            <a:ext uri="{FF2B5EF4-FFF2-40B4-BE49-F238E27FC236}">
              <a16:creationId xmlns:a16="http://schemas.microsoft.com/office/drawing/2014/main" id="{4953F5E2-D52F-4E81-B5D6-36A4703DF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295400"/>
          <a:ext cx="1238250" cy="1500701"/>
        </a:xfrm>
        <a:prstGeom prst="rect">
          <a:avLst/>
        </a:prstGeom>
      </xdr:spPr>
    </xdr:pic>
    <xdr:clientData/>
  </xdr:oneCellAnchor>
  <xdr:twoCellAnchor editAs="oneCell">
    <xdr:from>
      <xdr:col>2</xdr:col>
      <xdr:colOff>323850</xdr:colOff>
      <xdr:row>11</xdr:row>
      <xdr:rowOff>28575</xdr:rowOff>
    </xdr:from>
    <xdr:to>
      <xdr:col>10</xdr:col>
      <xdr:colOff>533400</xdr:colOff>
      <xdr:row>14</xdr:row>
      <xdr:rowOff>142381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DE4FEE-A95D-4857-8FC6-7E823F84D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2075" y="2209800"/>
          <a:ext cx="3876675" cy="685306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4A0DF51-E3EA-4043-A15E-14A15C54CB21}" autoFormatId="16" applyNumberFormats="0" applyBorderFormats="0" applyFontFormats="0" applyPatternFormats="0" applyAlignmentFormats="0" applyWidthHeightFormats="0">
  <queryTableRefresh nextId="5">
    <queryTableFields count="4">
      <queryTableField id="1" name="Lowest" tableColumnId="1"/>
      <queryTableField id="2" name=" " tableColumnId="2"/>
      <queryTableField id="3" name="2nd Lowest" tableColumnId="3"/>
      <queryTableField id="4" name="  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1184D0-6905-45C6-81EA-99E5442B507D}" autoFormatId="16" applyNumberFormats="0" applyBorderFormats="0" applyFontFormats="0" applyPatternFormats="0" applyAlignmentFormats="0" applyWidthHeightFormats="0">
  <queryTableRefresh nextId="2">
    <queryTableFields count="1">
      <queryTableField id="1" name="Frutis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D9A26C-FB97-4D8B-B06A-C418842E72CB}" name="tblSolution99" displayName="tblSolution99" ref="M11:P16" tableType="queryTable" totalsRowShown="0">
  <autoFilter ref="M11:P16" xr:uid="{1DD9A26C-FB97-4D8B-B06A-C418842E72CB}"/>
  <tableColumns count="4">
    <tableColumn id="1" xr3:uid="{C206F970-7F01-410F-99FC-DC7314709727}" uniqueName="1" name="Lowest" queryTableFieldId="1" dataDxfId="3"/>
    <tableColumn id="2" xr3:uid="{F3A833FA-6243-46E3-87C7-26F82A23909A}" uniqueName="2" name=" " queryTableFieldId="2" dataDxfId="2"/>
    <tableColumn id="3" xr3:uid="{D7786E45-D5E6-4DC1-8571-02ACC5D7CADC}" uniqueName="3" name="2nd Lowest" queryTableFieldId="3" dataDxfId="1"/>
    <tableColumn id="4" xr3:uid="{EF794F74-51DD-4B86-92D6-D0D754ABD835}" uniqueName="4" name="  " queryTableFieldId="4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C4168E-F41A-439F-97B0-12C23544730D}" name="tblStart" displayName="tblStart" ref="B3:B6" totalsRowShown="0">
  <autoFilter ref="B3:B6" xr:uid="{E5C4168E-F41A-439F-97B0-12C23544730D}">
    <filterColumn colId="0" hiddenButton="1"/>
  </autoFilter>
  <tableColumns count="1">
    <tableColumn id="1" xr3:uid="{DBE8EC6B-B9CC-47AD-9806-8B25F787BB4A}" name="Items" dataDxfId="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192A24-4E12-4520-AEED-1C96B365B99C}" name="tblSolution100" displayName="tblSolution100" ref="L13:L22" tableType="queryTable" totalsRowShown="0">
  <autoFilter ref="L13:L22" xr:uid="{76192A24-4E12-4520-AEED-1C96B365B99C}"/>
  <tableColumns count="1">
    <tableColumn id="1" xr3:uid="{8D256152-EE5A-4A59-84CE-A2D0D51F8D7F}" uniqueName="1" name="Frutis" queryTableField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0F6C-1395-4182-B0C1-AF9A3CC0131D}">
  <sheetPr codeName="Arkusz1"/>
  <dimension ref="B1:U25"/>
  <sheetViews>
    <sheetView showGridLines="0" tabSelected="1" topLeftCell="A11" workbookViewId="0">
      <selection activeCell="R17" sqref="R17"/>
    </sheetView>
  </sheetViews>
  <sheetFormatPr defaultRowHeight="15" x14ac:dyDescent="0.25"/>
  <cols>
    <col min="1" max="1" width="3.140625" customWidth="1"/>
    <col min="2" max="2" width="4.85546875" customWidth="1"/>
    <col min="3" max="3" width="5.28515625" bestFit="1" customWidth="1"/>
    <col min="4" max="4" width="4" bestFit="1" customWidth="1"/>
    <col min="5" max="5" width="5.42578125" bestFit="1" customWidth="1"/>
    <col min="6" max="6" width="5.28515625" bestFit="1" customWidth="1"/>
    <col min="7" max="7" width="4" bestFit="1" customWidth="1"/>
    <col min="8" max="8" width="5.42578125" bestFit="1" customWidth="1"/>
    <col min="9" max="9" width="5.28515625" bestFit="1" customWidth="1"/>
    <col min="10" max="10" width="4" bestFit="1" customWidth="1"/>
    <col min="11" max="11" width="5.42578125" bestFit="1" customWidth="1"/>
    <col min="12" max="12" width="6" customWidth="1"/>
    <col min="13" max="13" width="11.42578125" bestFit="1" customWidth="1"/>
    <col min="14" max="14" width="6.85546875" bestFit="1" customWidth="1"/>
    <col min="15" max="15" width="13.28515625" bestFit="1" customWidth="1"/>
    <col min="16" max="16" width="6.85546875" bestFit="1" customWidth="1"/>
  </cols>
  <sheetData>
    <row r="1" spans="2:21" ht="6.75" customHeight="1" x14ac:dyDescent="0.25"/>
    <row r="2" spans="2:21" x14ac:dyDescent="0.25">
      <c r="C2" s="24" t="s">
        <v>0</v>
      </c>
      <c r="D2" s="24"/>
      <c r="E2" s="24"/>
      <c r="F2" s="24"/>
      <c r="G2" s="24"/>
      <c r="H2" s="24"/>
      <c r="I2" s="24"/>
      <c r="J2" s="24"/>
      <c r="K2" s="24"/>
      <c r="M2" s="25" t="s">
        <v>1</v>
      </c>
      <c r="N2" s="25"/>
      <c r="O2" s="25"/>
      <c r="P2" s="25"/>
    </row>
    <row r="3" spans="2:21" ht="15.75" x14ac:dyDescent="0.25">
      <c r="C3" s="4" t="s">
        <v>2</v>
      </c>
      <c r="D3" s="5"/>
      <c r="E3" s="6"/>
      <c r="F3" s="4" t="s">
        <v>3</v>
      </c>
      <c r="G3" s="5"/>
      <c r="H3" s="6"/>
      <c r="I3" s="4" t="s">
        <v>4</v>
      </c>
      <c r="J3" s="5"/>
      <c r="K3" s="6"/>
      <c r="M3" s="15" t="s">
        <v>28</v>
      </c>
      <c r="N3" s="16" t="s">
        <v>29</v>
      </c>
      <c r="O3" s="15" t="s">
        <v>5</v>
      </c>
      <c r="P3" s="16" t="s">
        <v>30</v>
      </c>
    </row>
    <row r="4" spans="2:21" ht="15.75" x14ac:dyDescent="0.25">
      <c r="B4" s="7" t="s">
        <v>6</v>
      </c>
      <c r="C4" s="7" t="s">
        <v>7</v>
      </c>
      <c r="D4" s="7" t="s">
        <v>8</v>
      </c>
      <c r="E4" s="7" t="s">
        <v>9</v>
      </c>
      <c r="F4" s="7" t="s">
        <v>7</v>
      </c>
      <c r="G4" s="7" t="s">
        <v>8</v>
      </c>
      <c r="H4" s="7" t="s">
        <v>9</v>
      </c>
      <c r="I4" s="7" t="s">
        <v>7</v>
      </c>
      <c r="J4" s="7" t="s">
        <v>8</v>
      </c>
      <c r="K4" s="7" t="s">
        <v>9</v>
      </c>
      <c r="M4" s="12" t="s">
        <v>10</v>
      </c>
      <c r="N4" s="13" t="s">
        <v>11</v>
      </c>
      <c r="O4" s="12" t="s">
        <v>10</v>
      </c>
      <c r="P4" s="13" t="s">
        <v>11</v>
      </c>
    </row>
    <row r="5" spans="2:21" x14ac:dyDescent="0.25">
      <c r="B5" s="8">
        <v>1</v>
      </c>
      <c r="C5" s="9">
        <v>11</v>
      </c>
      <c r="D5" s="9">
        <v>289</v>
      </c>
      <c r="E5" s="8"/>
      <c r="F5" s="11">
        <v>18</v>
      </c>
      <c r="G5" s="8">
        <v>437</v>
      </c>
      <c r="H5" s="8"/>
      <c r="I5" s="8">
        <v>17</v>
      </c>
      <c r="J5" s="8">
        <v>261</v>
      </c>
      <c r="K5" s="8"/>
      <c r="M5" s="14">
        <v>11</v>
      </c>
      <c r="N5" s="14" t="s">
        <v>2</v>
      </c>
      <c r="O5" s="14">
        <v>17</v>
      </c>
      <c r="P5" s="14" t="s">
        <v>4</v>
      </c>
    </row>
    <row r="6" spans="2:21" x14ac:dyDescent="0.25">
      <c r="B6" s="8">
        <v>2</v>
      </c>
      <c r="C6" s="10">
        <v>20</v>
      </c>
      <c r="D6" s="9">
        <v>303</v>
      </c>
      <c r="E6" s="11"/>
      <c r="F6" s="11">
        <v>0</v>
      </c>
      <c r="G6" s="8">
        <v>0</v>
      </c>
      <c r="H6" s="11"/>
      <c r="I6" s="11">
        <v>3</v>
      </c>
      <c r="J6" s="8">
        <v>52</v>
      </c>
      <c r="K6" s="11" t="s">
        <v>12</v>
      </c>
      <c r="M6" s="14">
        <v>20</v>
      </c>
      <c r="N6" s="14" t="s">
        <v>2</v>
      </c>
      <c r="O6" s="11" t="s">
        <v>12</v>
      </c>
      <c r="P6" s="11" t="s">
        <v>12</v>
      </c>
    </row>
    <row r="7" spans="2:21" x14ac:dyDescent="0.25">
      <c r="B7" s="8">
        <v>3</v>
      </c>
      <c r="C7" s="10">
        <v>5</v>
      </c>
      <c r="D7" s="9">
        <v>75</v>
      </c>
      <c r="E7" s="11" t="s">
        <v>12</v>
      </c>
      <c r="F7" s="11">
        <v>9</v>
      </c>
      <c r="G7" s="8">
        <v>149</v>
      </c>
      <c r="H7" s="11" t="s">
        <v>12</v>
      </c>
      <c r="I7" s="11">
        <v>0</v>
      </c>
      <c r="J7" s="8">
        <v>0</v>
      </c>
      <c r="K7" s="11"/>
      <c r="M7" s="11" t="s">
        <v>12</v>
      </c>
      <c r="N7" s="11" t="s">
        <v>12</v>
      </c>
      <c r="O7" s="11" t="s">
        <v>12</v>
      </c>
      <c r="P7" s="11" t="s">
        <v>12</v>
      </c>
    </row>
    <row r="8" spans="2:21" x14ac:dyDescent="0.25">
      <c r="B8" s="8">
        <v>4</v>
      </c>
      <c r="C8" s="10">
        <v>50</v>
      </c>
      <c r="D8" s="9">
        <v>500</v>
      </c>
      <c r="E8" s="11"/>
      <c r="F8" s="11">
        <v>39</v>
      </c>
      <c r="G8" s="8">
        <v>398</v>
      </c>
      <c r="H8" s="11"/>
      <c r="I8" s="11">
        <v>43</v>
      </c>
      <c r="J8" s="8">
        <v>437</v>
      </c>
      <c r="K8" s="11" t="s">
        <v>12</v>
      </c>
      <c r="M8" s="14">
        <v>39</v>
      </c>
      <c r="N8" s="14" t="s">
        <v>3</v>
      </c>
      <c r="O8" s="14">
        <v>50</v>
      </c>
      <c r="P8" s="14" t="s">
        <v>2</v>
      </c>
    </row>
    <row r="9" spans="2:21" ht="18.75" x14ac:dyDescent="0.3">
      <c r="B9" s="1" t="s">
        <v>13</v>
      </c>
    </row>
    <row r="10" spans="2:21" ht="15.75" x14ac:dyDescent="0.25">
      <c r="B10" s="2" t="s">
        <v>14</v>
      </c>
    </row>
    <row r="11" spans="2:21" ht="15.75" x14ac:dyDescent="0.25">
      <c r="B11" s="2" t="s">
        <v>15</v>
      </c>
      <c r="M11" t="s">
        <v>28</v>
      </c>
      <c r="N11" t="s">
        <v>29</v>
      </c>
      <c r="O11" t="s">
        <v>5</v>
      </c>
      <c r="P11" t="s">
        <v>30</v>
      </c>
      <c r="R11" t="b" cm="1">
        <f t="array" ref="R11:U16">tblSolution99[#All]=M3:P8&amp;""</f>
        <v>1</v>
      </c>
      <c r="S11" t="b">
        <v>1</v>
      </c>
      <c r="T11" t="b">
        <v>1</v>
      </c>
      <c r="U11" t="b">
        <v>1</v>
      </c>
    </row>
    <row r="12" spans="2:21" ht="15.75" x14ac:dyDescent="0.25">
      <c r="B12" s="2" t="s">
        <v>16</v>
      </c>
      <c r="M12" s="26" t="s">
        <v>10</v>
      </c>
      <c r="N12" s="26" t="s">
        <v>11</v>
      </c>
      <c r="O12" s="26" t="s">
        <v>10</v>
      </c>
      <c r="P12" s="26" t="s">
        <v>11</v>
      </c>
      <c r="R12" t="b">
        <v>1</v>
      </c>
      <c r="S12" t="b">
        <v>1</v>
      </c>
      <c r="T12" t="b">
        <v>1</v>
      </c>
      <c r="U12" t="b">
        <v>1</v>
      </c>
    </row>
    <row r="13" spans="2:21" ht="15.75" x14ac:dyDescent="0.25">
      <c r="B13" s="2" t="s">
        <v>17</v>
      </c>
      <c r="M13" s="26" t="s">
        <v>31</v>
      </c>
      <c r="N13" s="26" t="s">
        <v>2</v>
      </c>
      <c r="O13" s="26" t="s">
        <v>32</v>
      </c>
      <c r="P13" s="26" t="s">
        <v>4</v>
      </c>
      <c r="R13" t="b">
        <v>1</v>
      </c>
      <c r="S13" t="b">
        <v>1</v>
      </c>
      <c r="T13" t="b">
        <v>1</v>
      </c>
      <c r="U13" t="b">
        <v>1</v>
      </c>
    </row>
    <row r="14" spans="2:21" x14ac:dyDescent="0.25">
      <c r="M14" s="26" t="s">
        <v>33</v>
      </c>
      <c r="N14" s="26" t="s">
        <v>2</v>
      </c>
      <c r="O14" s="26" t="s">
        <v>12</v>
      </c>
      <c r="P14" s="26" t="s">
        <v>12</v>
      </c>
      <c r="R14" t="b">
        <v>1</v>
      </c>
      <c r="S14" t="b">
        <v>1</v>
      </c>
      <c r="T14" t="b">
        <v>1</v>
      </c>
      <c r="U14" t="b">
        <v>1</v>
      </c>
    </row>
    <row r="15" spans="2:21" x14ac:dyDescent="0.25">
      <c r="M15" s="26" t="s">
        <v>12</v>
      </c>
      <c r="N15" s="26" t="s">
        <v>12</v>
      </c>
      <c r="O15" s="26" t="s">
        <v>12</v>
      </c>
      <c r="P15" s="26" t="s">
        <v>12</v>
      </c>
      <c r="R15" t="b">
        <v>1</v>
      </c>
      <c r="S15" t="b">
        <v>1</v>
      </c>
      <c r="T15" t="b">
        <v>1</v>
      </c>
      <c r="U15" t="b">
        <v>1</v>
      </c>
    </row>
    <row r="16" spans="2:21" x14ac:dyDescent="0.25">
      <c r="M16" s="26" t="s">
        <v>34</v>
      </c>
      <c r="N16" s="26" t="s">
        <v>3</v>
      </c>
      <c r="O16" s="26" t="s">
        <v>35</v>
      </c>
      <c r="P16" s="26" t="s">
        <v>2</v>
      </c>
      <c r="R16" t="b">
        <v>1</v>
      </c>
      <c r="S16" t="b">
        <v>1</v>
      </c>
      <c r="T16" t="b">
        <v>1</v>
      </c>
      <c r="U16" t="b">
        <v>1</v>
      </c>
    </row>
    <row r="20" spans="13:21" x14ac:dyDescent="0.25">
      <c r="M20" t="str" cm="1">
        <f t="array" ref="M20:P25">_xlfn.LET(
_xlpm._data_, C3:K8,
_xlpm._items_,B5:B8,
_xlpm._getCols_, _xlfn.DROP(_xlfn._xlws.FILTER(_xlpm._data_, _xlfn.BYCOL(_xlfn.CHOOSEROWS(_xlpm._data_, 2)={"Cost";"Note"}, _xleta.OR)), 1),
_xlpm._n_, COLUMNS(_xlpm._getCols_) / 2,
_xlpm._toCol_, _xlfn.TOCOL(_xlpm._getCols_,0,1),
_xlpm._toSeq_, INT(_xlfn.SEQUENCE(COUNTA(_xlpm._toCol_),,0,1)/5),
_xlpm._tbl_, _xlfn.HSTACK(_xlfn._xlws.FILTER(_xlpm._toCol_, ISEVEN(_xlpm._toSeq_)), _xlfn._xlws.FILTER(_xlpm._toCol_, ISODD(_xlpm._toSeq_))),
_xlpm._clean_, _xlfn._xlws.FILTER(_xlpm._tbl_, _xlfn.CHOOSECOLS(_xlpm._tbl_, 1) &lt;&gt; "Cost"),
_xlpm._rep_, _xlfn.TOCOL(IF(_xlfn.SEQUENCE(1,_xlpm._n_,1,0), _xlpm._items_),0,1),
_xlpm._offers_, _xlfn.TOCOL(IF(_xlfn.TOROW(_xlpm._items_), "Offer " &amp; _xlfn.SEQUENCE(_xlpm._n_)),0,0),
_xlpm._comb_, _xlfn.HSTACK(_xlpm._rep_,_xlpm._offers_, _xlpm._clean_),
_xlpm._map_, _xlfn.TEXTSPLIT(_xlfn.TEXTJOIN(";",0,_xlfn.MAP(_xlpm._items_, _xlfn.LAMBDA(_xlpm.i, _xlfn.LET(_xlpm.f, _xlfn._xlws.FILTER(_xlpm._comb_, ((_xlfn.CHOOSECOLS(_xlpm._comb_, 1) = _xlpm.i) * (_xlfn.CHOOSECOLS(_xlpm._comb_, 3) &lt;&gt; 0) * (_xlfn.CHOOSECOLS(_xlpm._comb_, 4) &lt;&gt; "NA"))), _xlpm.m_1, MIN(_xlfn.CHOOSECOLS(_xlpm.f, 3)), _xlpm.m_2, SMALL(_xlfn.CHOOSECOLS(_xlpm.f, 3), 2), _xlpm.m1_r, IFERROR(_xlfn._xlws.FILTER(_xlfn.CHOOSECOLS(_xlpm.f, 3,2), _xlfn.CHOOSECOLS(_xlpm.f, 3) = _xlpm.m_1), "NA|NA"),_xlpm.m2_r,IFERROR(_xlfn._xlws.FILTER(_xlfn.CHOOSECOLS(_xlpm.f, 3,2), _xlfn.CHOOSECOLS(_xlpm.f, 3) = _xlpm.m_2), "NA|NA"), _xlpm.c, _xlfn.TEXTJOIN("|",0,_xlfn.HSTACK(_xlpm.m1_r,_xlpm.m2_r)), _xlpm.c)))), "|", ";",0,0),
_xlpm._res_, _xlfn.VSTACK({"Lowest"," ","2nd Lowest","  "}, {"Amount","Offer","Amount","Offer"},_xlpm._map_),
_xlpm._res_)</f>
        <v>Lowest</v>
      </c>
      <c r="N20" t="str">
        <v xml:space="preserve"> </v>
      </c>
      <c r="O20" t="str">
        <v>2nd Lowest</v>
      </c>
      <c r="P20" t="str">
        <v xml:space="preserve">  </v>
      </c>
      <c r="R20" t="b" cm="1">
        <f t="array" ref="R20:U25">_xlfn.ANCHORARRAY(M20)=M3:P8&amp;""</f>
        <v>1</v>
      </c>
      <c r="S20" t="b">
        <v>1</v>
      </c>
      <c r="T20" t="b">
        <v>1</v>
      </c>
      <c r="U20" t="b">
        <v>1</v>
      </c>
    </row>
    <row r="21" spans="13:21" x14ac:dyDescent="0.25">
      <c r="M21" t="str">
        <v>Amount</v>
      </c>
      <c r="N21" t="str">
        <v>Offer</v>
      </c>
      <c r="O21" t="str">
        <v>Amount</v>
      </c>
      <c r="P21" t="str">
        <v>Offer</v>
      </c>
      <c r="R21" t="b">
        <v>1</v>
      </c>
      <c r="S21" t="b">
        <v>1</v>
      </c>
      <c r="T21" t="b">
        <v>1</v>
      </c>
      <c r="U21" t="b">
        <v>1</v>
      </c>
    </row>
    <row r="22" spans="13:21" x14ac:dyDescent="0.25">
      <c r="M22" t="str">
        <v>11</v>
      </c>
      <c r="N22" t="str">
        <v>Offer 1</v>
      </c>
      <c r="O22" t="str">
        <v>17</v>
      </c>
      <c r="P22" t="str">
        <v>Offer 3</v>
      </c>
      <c r="R22" t="b">
        <v>1</v>
      </c>
      <c r="S22" t="b">
        <v>1</v>
      </c>
      <c r="T22" t="b">
        <v>1</v>
      </c>
      <c r="U22" t="b">
        <v>1</v>
      </c>
    </row>
    <row r="23" spans="13:21" x14ac:dyDescent="0.25">
      <c r="M23" t="str">
        <v>20</v>
      </c>
      <c r="N23" t="str">
        <v>Offer 1</v>
      </c>
      <c r="O23" t="str">
        <v>NA</v>
      </c>
      <c r="P23" t="str">
        <v>NA</v>
      </c>
      <c r="R23" t="b">
        <v>1</v>
      </c>
      <c r="S23" t="b">
        <v>1</v>
      </c>
      <c r="T23" t="b">
        <v>1</v>
      </c>
      <c r="U23" t="b">
        <v>1</v>
      </c>
    </row>
    <row r="24" spans="13:21" x14ac:dyDescent="0.25">
      <c r="M24" t="str">
        <v>NA</v>
      </c>
      <c r="N24" t="str">
        <v>NA</v>
      </c>
      <c r="O24" t="str">
        <v>NA</v>
      </c>
      <c r="P24" t="str">
        <v>NA</v>
      </c>
      <c r="R24" t="b">
        <v>1</v>
      </c>
      <c r="S24" t="b">
        <v>1</v>
      </c>
      <c r="T24" t="b">
        <v>1</v>
      </c>
      <c r="U24" t="b">
        <v>1</v>
      </c>
    </row>
    <row r="25" spans="13:21" x14ac:dyDescent="0.25">
      <c r="M25" t="str">
        <v>39</v>
      </c>
      <c r="N25" t="str">
        <v>Offer 2</v>
      </c>
      <c r="O25" t="str">
        <v>50</v>
      </c>
      <c r="P25" t="str">
        <v>Offer 1</v>
      </c>
      <c r="R25" t="b">
        <v>1</v>
      </c>
      <c r="S25" t="b">
        <v>1</v>
      </c>
      <c r="T25" t="b">
        <v>1</v>
      </c>
      <c r="U25" t="b">
        <v>1</v>
      </c>
    </row>
  </sheetData>
  <mergeCells count="2">
    <mergeCell ref="C2:K2"/>
    <mergeCell ref="M2:P2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95B9-7F1E-4159-8935-196EDAD63A2C}">
  <sheetPr codeName="Arkusz2"/>
  <dimension ref="B1:R22"/>
  <sheetViews>
    <sheetView showGridLines="0" workbookViewId="0">
      <selection activeCell="J17" sqref="J17"/>
    </sheetView>
  </sheetViews>
  <sheetFormatPr defaultRowHeight="15" x14ac:dyDescent="0.25"/>
  <cols>
    <col min="1" max="1" width="6.42578125" customWidth="1"/>
    <col min="3" max="3" width="5.85546875" customWidth="1"/>
    <col min="4" max="4" width="1.42578125" customWidth="1"/>
    <col min="5" max="5" width="8.42578125" bestFit="1" customWidth="1"/>
    <col min="6" max="6" width="2.7109375" customWidth="1"/>
    <col min="12" max="12" width="8.28515625" bestFit="1" customWidth="1"/>
    <col min="16" max="16" width="11" bestFit="1" customWidth="1"/>
  </cols>
  <sheetData>
    <row r="1" spans="2:18" x14ac:dyDescent="0.25">
      <c r="B1" s="22" t="s">
        <v>0</v>
      </c>
    </row>
    <row r="2" spans="2:18" ht="15.75" thickBot="1" x14ac:dyDescent="0.3">
      <c r="B2" s="17" t="s">
        <v>18</v>
      </c>
      <c r="C2" s="18">
        <v>3</v>
      </c>
      <c r="E2" s="23" t="s">
        <v>1</v>
      </c>
    </row>
    <row r="3" spans="2:18" ht="19.5" thickTop="1" x14ac:dyDescent="0.3">
      <c r="B3" t="s">
        <v>19</v>
      </c>
      <c r="E3" s="20" t="s">
        <v>20</v>
      </c>
      <c r="G3" s="1" t="s">
        <v>13</v>
      </c>
      <c r="L3" t="str" cm="1">
        <f t="array" ref="L3:L11">_xlfn.LET(
_xlpm._data_, tblStart[Items],
_xlpm._n_, C2,
_xlpm._sol_, _xlfn.DROP(_xlfn.REDUCE("",_xlpm._data_, _xlfn.LAMBDA(_xlpm.state,_xlpm.curr, _xlfn.VSTACK(_xlpm.state, IF(_xlfn.SEQUENCE(_xlpm._n_), _xlpm.curr)))),1),
_xlpm._sol_)</f>
        <v>Apple</v>
      </c>
      <c r="N3" t="b" cm="1">
        <f t="array" ref="N3:N11">_xlfn.ANCHORARRAY(L3)=E3:E11</f>
        <v>1</v>
      </c>
      <c r="P3" t="str" cm="1">
        <f t="array" ref="P3:P11">_xlfn._xlws.PY(0,0,B3:B6,C2)</f>
        <v>Apple</v>
      </c>
      <c r="R3" t="b" cm="1">
        <f t="array" ref="R3:R11">_xlfn.ANCHORARRAY(P3)=E3:E11</f>
        <v>1</v>
      </c>
    </row>
    <row r="4" spans="2:18" ht="15.75" x14ac:dyDescent="0.25">
      <c r="B4" s="14" t="s">
        <v>20</v>
      </c>
      <c r="E4" s="20" t="s">
        <v>20</v>
      </c>
      <c r="G4" s="2" t="s">
        <v>21</v>
      </c>
      <c r="L4" t="str">
        <v>Apple</v>
      </c>
      <c r="N4" t="b">
        <v>1</v>
      </c>
      <c r="P4" t="str">
        <v>Apple</v>
      </c>
      <c r="R4" t="b">
        <v>1</v>
      </c>
    </row>
    <row r="5" spans="2:18" ht="15.75" x14ac:dyDescent="0.25">
      <c r="B5" s="14" t="s">
        <v>22</v>
      </c>
      <c r="E5" s="20" t="s">
        <v>20</v>
      </c>
      <c r="G5" s="2" t="s">
        <v>23</v>
      </c>
      <c r="L5" t="str">
        <v>Apple</v>
      </c>
      <c r="N5" t="b">
        <v>1</v>
      </c>
      <c r="P5" t="str">
        <v>Apple</v>
      </c>
      <c r="R5" t="b">
        <v>1</v>
      </c>
    </row>
    <row r="6" spans="2:18" ht="15.75" x14ac:dyDescent="0.25">
      <c r="B6" s="19" t="s">
        <v>24</v>
      </c>
      <c r="E6" s="20" t="s">
        <v>22</v>
      </c>
      <c r="G6" s="2" t="s">
        <v>17</v>
      </c>
      <c r="L6" t="str">
        <v>Mango</v>
      </c>
      <c r="N6" t="b">
        <v>1</v>
      </c>
      <c r="P6" t="str">
        <v>Mango</v>
      </c>
      <c r="R6" t="b">
        <v>1</v>
      </c>
    </row>
    <row r="7" spans="2:18" x14ac:dyDescent="0.25">
      <c r="E7" s="20" t="s">
        <v>22</v>
      </c>
      <c r="L7" t="str">
        <v>Mango</v>
      </c>
      <c r="N7" t="b">
        <v>1</v>
      </c>
      <c r="P7" t="str">
        <v>Mango</v>
      </c>
      <c r="R7" t="b">
        <v>1</v>
      </c>
    </row>
    <row r="8" spans="2:18" x14ac:dyDescent="0.25">
      <c r="E8" s="20" t="s">
        <v>22</v>
      </c>
      <c r="L8" t="str">
        <v>Mango</v>
      </c>
      <c r="N8" t="b">
        <v>1</v>
      </c>
      <c r="P8" t="str">
        <v>Mango</v>
      </c>
      <c r="R8" t="b">
        <v>1</v>
      </c>
    </row>
    <row r="9" spans="2:18" x14ac:dyDescent="0.25">
      <c r="E9" s="20" t="s">
        <v>24</v>
      </c>
      <c r="L9" t="str">
        <v>Kiwi</v>
      </c>
      <c r="N9" t="b">
        <v>1</v>
      </c>
      <c r="P9" t="str">
        <v>Kiwi</v>
      </c>
      <c r="R9" t="b">
        <v>1</v>
      </c>
    </row>
    <row r="10" spans="2:18" x14ac:dyDescent="0.25">
      <c r="E10" s="20" t="s">
        <v>24</v>
      </c>
      <c r="L10" t="str">
        <v>Kiwi</v>
      </c>
      <c r="N10" t="b">
        <v>1</v>
      </c>
      <c r="P10" t="str">
        <v>Kiwi</v>
      </c>
      <c r="R10" t="b">
        <v>1</v>
      </c>
    </row>
    <row r="11" spans="2:18" x14ac:dyDescent="0.25">
      <c r="E11" s="21" t="s">
        <v>24</v>
      </c>
      <c r="L11" t="str">
        <v>Kiwi</v>
      </c>
      <c r="N11" t="b">
        <v>1</v>
      </c>
      <c r="P11" t="str">
        <v>Kiwi</v>
      </c>
      <c r="R11" t="b">
        <v>1</v>
      </c>
    </row>
    <row r="13" spans="2:18" x14ac:dyDescent="0.25">
      <c r="L13" t="s">
        <v>27</v>
      </c>
    </row>
    <row r="14" spans="2:18" x14ac:dyDescent="0.25">
      <c r="L14" t="s">
        <v>20</v>
      </c>
      <c r="N14" t="b" cm="1">
        <f t="array" ref="N14:N22">tblSolution100[Frutis]=E3:E11</f>
        <v>1</v>
      </c>
    </row>
    <row r="15" spans="2:18" x14ac:dyDescent="0.25">
      <c r="B15" s="3" t="s">
        <v>25</v>
      </c>
      <c r="L15" t="s">
        <v>20</v>
      </c>
      <c r="N15" t="b">
        <v>1</v>
      </c>
    </row>
    <row r="16" spans="2:18" x14ac:dyDescent="0.25">
      <c r="B16" s="3" t="s">
        <v>26</v>
      </c>
      <c r="L16" t="s">
        <v>20</v>
      </c>
      <c r="N16" t="b">
        <v>1</v>
      </c>
    </row>
    <row r="17" spans="12:14" x14ac:dyDescent="0.25">
      <c r="L17" t="s">
        <v>22</v>
      </c>
      <c r="N17" t="b">
        <v>1</v>
      </c>
    </row>
    <row r="18" spans="12:14" x14ac:dyDescent="0.25">
      <c r="L18" t="s">
        <v>22</v>
      </c>
      <c r="N18" t="b">
        <v>1</v>
      </c>
    </row>
    <row r="19" spans="12:14" x14ac:dyDescent="0.25">
      <c r="L19" t="s">
        <v>22</v>
      </c>
      <c r="N19" t="b">
        <v>1</v>
      </c>
    </row>
    <row r="20" spans="12:14" x14ac:dyDescent="0.25">
      <c r="L20" t="s">
        <v>24</v>
      </c>
      <c r="N20" t="b">
        <v>1</v>
      </c>
    </row>
    <row r="21" spans="12:14" x14ac:dyDescent="0.25">
      <c r="L21" t="s">
        <v>24</v>
      </c>
      <c r="N21" t="b">
        <v>1</v>
      </c>
    </row>
    <row r="22" spans="12:14" x14ac:dyDescent="0.25">
      <c r="L22" t="s">
        <v>24</v>
      </c>
      <c r="N22" t="b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88E546-CA9B-4DC8-8478-651EF16B45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99</vt:lpstr>
      <vt:lpstr>100</vt:lpstr>
      <vt:lpstr>rngStart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2026-02-11T18:46:04Z</dcterms:modified>
  <cp:category/>
  <cp:contentStatus/>
</cp:coreProperties>
</file>