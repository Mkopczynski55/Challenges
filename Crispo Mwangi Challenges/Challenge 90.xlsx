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CrispoMwangi/"/>
    </mc:Choice>
  </mc:AlternateContent>
  <xr:revisionPtr revIDLastSave="55" documentId="8_{DA0FD149-B50F-4141-9D8E-E361F4281650}" xr6:coauthVersionLast="47" xr6:coauthVersionMax="47" xr10:uidLastSave="{D6B1C98D-97A0-4501-A718-EAC687C9E0D7}"/>
  <bookViews>
    <workbookView xWindow="-120" yWindow="-120" windowWidth="29040" windowHeight="15720" xr2:uid="{01C07523-956D-49DD-B8E7-BDEF3D02612B}"/>
  </bookViews>
  <sheets>
    <sheet name="90" sheetId="4" r:id="rId1"/>
  </sheets>
  <definedNames>
    <definedName name="ExternalData_1" localSheetId="0" hidden="1">'90'!$N$10:$O$15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4" l="1" a="1"/>
  <c r="T4" i="4" s="1"/>
  <c r="W5" i="4" a="1"/>
  <c r="Q11" i="4" a="1"/>
  <c r="Q11" i="4" s="1"/>
  <c r="N4" i="4" a="1"/>
  <c r="N4" i="4" s="1"/>
  <c r="W5" i="4" l="1"/>
  <c r="Q4" i="4" a="1"/>
  <c r="Q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09B068-FCAA-4A4E-AF1D-73192C4A9431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headers=True)
counts = df["Item"].value_counts().to_dict()
def fxHelper(row):
    item = row["Item"]
    n = counts[item]
    if n &gt; 1:
        return n
    else:
        return df[df["Item"] == item]["Date"].iloc[0]
unq = df["Item"].unique()
df_sol = pd.DataFrame({"Item": unq})
df_sol["Value"] = df_sol.apply(fxHelper, axis=1)
df_sol.sort_values("Item").reset_index(drop = True)
</code>
    </pythonScript>
  </pythonScripts>
</python>
</file>

<file path=xl/sharedStrings.xml><?xml version="1.0" encoding="utf-8"?>
<sst xmlns="http://schemas.openxmlformats.org/spreadsheetml/2006/main" count="30" uniqueCount="16">
  <si>
    <t>Problem</t>
  </si>
  <si>
    <t>Solution</t>
  </si>
  <si>
    <t>Item</t>
  </si>
  <si>
    <t>Date</t>
  </si>
  <si>
    <t>Apple</t>
  </si>
  <si>
    <t>Fig</t>
  </si>
  <si>
    <t>Banana</t>
  </si>
  <si>
    <t>Kiwi</t>
  </si>
  <si>
    <t>Orange</t>
  </si>
  <si>
    <t>Easy Sunday Excel Challenge</t>
  </si>
  <si>
    <t>To Support the Challenges</t>
  </si>
  <si>
    <t>⭐Count the Duplicates</t>
  </si>
  <si>
    <t>Buy the Book</t>
  </si>
  <si>
    <t>⭐And Lookup the dates for uniques items</t>
  </si>
  <si>
    <t>⭐Solution MUST be dynamic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</si>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</sst>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1"/>
      <color rgb="FF00B050"/>
      <name val="Calibri"/>
      <family val="2"/>
    </font>
    <font>
      <b/>
      <sz val="14"/>
      <color rgb="FF00B050"/>
      <name val="Calibri"/>
      <family val="2"/>
    </font>
    <font>
      <b/>
      <sz val="16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7" fillId="0" borderId="0" xfId="0" applyFont="1"/>
    <xf numFmtId="0" fontId="5" fillId="0" borderId="5" xfId="0" applyFont="1" applyBorder="1"/>
    <xf numFmtId="14" fontId="0" fillId="0" borderId="4" xfId="0" applyNumberFormat="1" applyBorder="1"/>
    <xf numFmtId="0" fontId="0" fillId="0" borderId="6" xfId="0" applyBorder="1"/>
    <xf numFmtId="0" fontId="0" fillId="0" borderId="5" xfId="0" applyBorder="1" applyAlignment="1">
      <alignment horizontal="right"/>
    </xf>
    <xf numFmtId="0" fontId="0" fillId="0" borderId="7" xfId="0" applyBorder="1"/>
    <xf numFmtId="14" fontId="0" fillId="0" borderId="5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iperłącze" xfId="1" builtinId="8"/>
    <cellStyle name="Normalny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F76C0776-9F5C-436B-A223-307F378AFD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333375</xdr:colOff>
      <xdr:row>1</xdr:row>
      <xdr:rowOff>123825</xdr:rowOff>
    </xdr:from>
    <xdr:ext cx="1590675" cy="1927824"/>
    <xdr:pic>
      <xdr:nvPicPr>
        <xdr:cNvPr id="2" name="Picture 1">
          <a:extLst>
            <a:ext uri="{FF2B5EF4-FFF2-40B4-BE49-F238E27FC236}">
              <a16:creationId xmlns:a16="http://schemas.microsoft.com/office/drawing/2014/main" id="{CEB7EC4A-60E3-4314-A848-8669CFB0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6175" y="219075"/>
          <a:ext cx="1590675" cy="1927824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16</xdr:row>
      <xdr:rowOff>47626</xdr:rowOff>
    </xdr:from>
    <xdr:to>
      <xdr:col>10</xdr:col>
      <xdr:colOff>342603</xdr:colOff>
      <xdr:row>21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ABB090-B59A-4018-BA97-E89495CD5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9901"/>
          <a:ext cx="5657553" cy="100012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EDF30A-A65D-47B6-89A7-0AFCD2CD8A52}" autoFormatId="16" applyNumberFormats="0" applyBorderFormats="0" applyFontFormats="0" applyPatternFormats="0" applyAlignmentFormats="0" applyWidthHeightFormats="0">
  <queryTableRefresh nextId="3">
    <queryTableFields count="2">
      <queryTableField id="1" name="Item" tableColumnId="1"/>
      <queryTableField id="2" name="Value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fb>46025</fb>
    <v>0</v>
  </rv>
  <rv s="0">
    <fb>46030</fb>
    <v>0</v>
  </rv>
  <rv s="0">
    <fb>46027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/mm/yyyy"/>
    </x:dxf>
  </dxfs>
  <richStyles>
    <rSty dxfid="0"/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E44C2-ECD8-479A-9D6C-E4E0E800422C}" name="Chapters" displayName="Chapters" ref="B4:C12" totalsRowShown="0" headerRowDxfId="5" headerRowBorderDxfId="4" tableBorderDxfId="3" totalsRowBorderDxfId="2">
  <autoFilter ref="B4:C12" xr:uid="{16EE44C2-ECD8-479A-9D6C-E4E0E800422C}">
    <filterColumn colId="0" hiddenButton="1"/>
    <filterColumn colId="1" hiddenButton="1"/>
  </autoFilter>
  <tableColumns count="2">
    <tableColumn id="1" xr3:uid="{7FF24C86-BBEE-4C5B-9D61-5E62B3E94549}" name="Item" dataDxfId="1"/>
    <tableColumn id="2" xr3:uid="{B37FA9BC-5C7B-4BF9-9B49-C338DD1D6245}" name="Date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895B10-3C34-4E2B-8B60-71F0168EEADC}" name="tblSolution" displayName="tblSolution" ref="N10:O15" tableType="queryTable" totalsRowShown="0">
  <autoFilter ref="N10:O15" xr:uid="{70895B10-3C34-4E2B-8B60-71F0168EEADC}"/>
  <tableColumns count="2">
    <tableColumn id="1" xr3:uid="{25EFC943-14AA-4EBE-8133-CF1AC0E343F4}" uniqueName="1" name="Item" queryTableFieldId="1"/>
    <tableColumn id="2" xr3:uid="{5D430580-0EB9-4A80-B605-4A1D090D8AAB}" uniqueName="2" name="Valu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CEDD-F279-49F9-AE77-5CFBAB2B177B}">
  <dimension ref="B1:X16"/>
  <sheetViews>
    <sheetView showGridLines="0" tabSelected="1" workbookViewId="0">
      <selection activeCell="O8" sqref="O8"/>
    </sheetView>
  </sheetViews>
  <sheetFormatPr defaultRowHeight="15" x14ac:dyDescent="0.25"/>
  <cols>
    <col min="1" max="1" width="1.42578125" customWidth="1"/>
    <col min="2" max="2" width="11.7109375" bestFit="1" customWidth="1"/>
    <col min="3" max="3" width="16.5703125" customWidth="1"/>
    <col min="4" max="4" width="3.85546875" customWidth="1"/>
    <col min="5" max="5" width="3.28515625" customWidth="1"/>
    <col min="6" max="6" width="9.42578125" bestFit="1" customWidth="1"/>
    <col min="7" max="7" width="9.7109375" customWidth="1"/>
    <col min="8" max="8" width="14" customWidth="1"/>
    <col min="9" max="9" width="5.42578125" bestFit="1" customWidth="1"/>
    <col min="10" max="10" width="4.28515625" bestFit="1" customWidth="1"/>
    <col min="11" max="11" width="9.42578125" bestFit="1" customWidth="1"/>
    <col min="12" max="12" width="6" bestFit="1" customWidth="1"/>
    <col min="14" max="14" width="7.42578125" bestFit="1" customWidth="1"/>
    <col min="15" max="15" width="8.42578125" bestFit="1" customWidth="1"/>
    <col min="20" max="20" width="11" bestFit="1" customWidth="1"/>
  </cols>
  <sheetData>
    <row r="1" spans="2:24" ht="7.5" customHeight="1" x14ac:dyDescent="0.25"/>
    <row r="2" spans="2:24" ht="21" x14ac:dyDescent="0.35">
      <c r="B2" s="19" t="s">
        <v>0</v>
      </c>
      <c r="C2" s="19"/>
      <c r="D2" s="19"/>
      <c r="F2" s="20" t="s">
        <v>1</v>
      </c>
      <c r="G2" s="20"/>
      <c r="H2" s="10"/>
      <c r="I2" s="10"/>
      <c r="J2" s="10"/>
      <c r="K2" s="10"/>
    </row>
    <row r="3" spans="2:24" ht="3.75" customHeight="1" x14ac:dyDescent="0.25">
      <c r="B3" s="5"/>
      <c r="C3" s="5"/>
      <c r="D3" s="5"/>
    </row>
    <row r="4" spans="2:24" x14ac:dyDescent="0.25">
      <c r="B4" s="6" t="s">
        <v>2</v>
      </c>
      <c r="C4" s="7" t="s">
        <v>3</v>
      </c>
      <c r="D4" s="4"/>
      <c r="F4" s="13" t="s">
        <v>4</v>
      </c>
      <c r="G4" s="14">
        <v>3</v>
      </c>
      <c r="N4" t="str" cm="1">
        <f t="array" ref="N4:O8">_xlfn.LET(
_xlpm._data_, Chapters[],
_xlpm._items_, _xlfn.CHOOSECOLS(_xlpm._data_, 1),
_xlpm._dates_, _xlfn.CHOOSECOLS(_xlpm._data_, 2),
_xlpm._unqItems_, _xlfn.UNIQUE(_xlpm._items_),
_xlpm._cnts_, _xlfn.MAP(_xlpm._unqItems_, _xlfn.LAMBDA(_xlpm.r, SUM(--(_xlpm._items_ = _xlpm.r)))),
_xlpm._res_, IF(_xlpm._cnts_ &gt; 1, _xlpm._cnts_, _xlfn.XLOOKUP(_xlpm._unqItems_, _xlpm._items_, _xlpm._dates_,, 0, 1)),
_xlpm._sol_, _xlfn._xlws.SORT(_xlfn.HSTACK(_xlpm._unqItems_, _xlpm._res_)),
_xlpm._sol_)</f>
        <v>Apple</v>
      </c>
      <c r="O4">
        <v>3</v>
      </c>
      <c r="Q4" t="b" cm="1">
        <f t="array" ref="Q4:R8">F4:G8=_xlfn.ANCHORARRAY(N4)</f>
        <v>1</v>
      </c>
      <c r="R4" t="b">
        <v>1</v>
      </c>
      <c r="T4" t="str" cm="1">
        <f t="array" ref="T4:U9">_xlfn._xlws.PY(0,0,B4:C12)</f>
        <v>Item</v>
      </c>
      <c r="U4" t="str">
        <v>Value</v>
      </c>
    </row>
    <row r="5" spans="2:24" x14ac:dyDescent="0.25">
      <c r="B5" s="8" t="s">
        <v>5</v>
      </c>
      <c r="C5" s="12">
        <v>46023</v>
      </c>
      <c r="D5" s="4"/>
      <c r="F5" s="15" t="s">
        <v>6</v>
      </c>
      <c r="G5" s="16">
        <v>46025</v>
      </c>
      <c r="N5" t="str">
        <v>Banana</v>
      </c>
      <c r="O5">
        <v>46025</v>
      </c>
      <c r="Q5" t="b">
        <v>1</v>
      </c>
      <c r="R5" t="b">
        <v>1</v>
      </c>
      <c r="T5" t="str">
        <v>Apple</v>
      </c>
      <c r="U5">
        <v>3</v>
      </c>
      <c r="W5" t="b" cm="1">
        <f t="array" ref="W5:X9">F4:G8=T5:U9</f>
        <v>1</v>
      </c>
      <c r="X5" t="b">
        <v>1</v>
      </c>
    </row>
    <row r="6" spans="2:24" x14ac:dyDescent="0.25">
      <c r="B6" s="9" t="s">
        <v>4</v>
      </c>
      <c r="C6" s="12">
        <v>46024</v>
      </c>
      <c r="D6" s="4"/>
      <c r="F6" s="15" t="s">
        <v>5</v>
      </c>
      <c r="G6" s="17">
        <v>2</v>
      </c>
      <c r="N6" t="str">
        <v>Fig</v>
      </c>
      <c r="O6">
        <v>2</v>
      </c>
      <c r="Q6" t="b">
        <v>1</v>
      </c>
      <c r="R6" t="b">
        <v>1</v>
      </c>
      <c r="T6" t="str">
        <v>Banana</v>
      </c>
      <c r="U6" vm="1">
        <v>46025</v>
      </c>
      <c r="W6" t="b">
        <v>1</v>
      </c>
      <c r="X6" t="b">
        <v>1</v>
      </c>
    </row>
    <row r="7" spans="2:24" x14ac:dyDescent="0.25">
      <c r="B7" s="11" t="s">
        <v>6</v>
      </c>
      <c r="C7" s="12">
        <v>46025</v>
      </c>
      <c r="D7" s="4"/>
      <c r="F7" s="15" t="s">
        <v>7</v>
      </c>
      <c r="G7" s="18">
        <v>46030</v>
      </c>
      <c r="N7" t="str">
        <v>Kiwi</v>
      </c>
      <c r="O7">
        <v>46030</v>
      </c>
      <c r="Q7" t="b">
        <v>1</v>
      </c>
      <c r="R7" t="b">
        <v>1</v>
      </c>
      <c r="T7" t="str">
        <v>Fig</v>
      </c>
      <c r="U7">
        <v>2</v>
      </c>
      <c r="W7" t="b">
        <v>1</v>
      </c>
      <c r="X7" t="b">
        <v>1</v>
      </c>
    </row>
    <row r="8" spans="2:24" x14ac:dyDescent="0.25">
      <c r="B8" s="11" t="s">
        <v>5</v>
      </c>
      <c r="C8" s="12">
        <v>46026</v>
      </c>
      <c r="D8" s="4"/>
      <c r="F8" s="7" t="s">
        <v>8</v>
      </c>
      <c r="G8" s="18">
        <v>46027</v>
      </c>
      <c r="N8" t="str">
        <v>Orange</v>
      </c>
      <c r="O8">
        <v>46027</v>
      </c>
      <c r="Q8" t="b">
        <v>1</v>
      </c>
      <c r="R8" t="b">
        <v>1</v>
      </c>
      <c r="T8" t="str">
        <v>Kiwi</v>
      </c>
      <c r="U8" vm="2">
        <v>46030</v>
      </c>
      <c r="W8" t="b">
        <v>1</v>
      </c>
      <c r="X8" t="b">
        <v>1</v>
      </c>
    </row>
    <row r="9" spans="2:24" x14ac:dyDescent="0.25">
      <c r="B9" s="9" t="s">
        <v>8</v>
      </c>
      <c r="C9" s="12">
        <v>46027</v>
      </c>
      <c r="T9" t="str">
        <v>Orange</v>
      </c>
      <c r="U9" vm="3">
        <v>46027</v>
      </c>
      <c r="W9" t="b">
        <v>1</v>
      </c>
      <c r="X9" t="b">
        <v>1</v>
      </c>
    </row>
    <row r="10" spans="2:24" x14ac:dyDescent="0.25">
      <c r="B10" s="9" t="s">
        <v>4</v>
      </c>
      <c r="C10" s="12">
        <v>46028</v>
      </c>
      <c r="N10" t="s">
        <v>2</v>
      </c>
      <c r="O10" t="s">
        <v>15</v>
      </c>
    </row>
    <row r="11" spans="2:24" x14ac:dyDescent="0.25">
      <c r="B11" s="9" t="s">
        <v>4</v>
      </c>
      <c r="C11" s="12">
        <v>46029</v>
      </c>
      <c r="N11" t="s">
        <v>4</v>
      </c>
      <c r="O11">
        <v>3</v>
      </c>
      <c r="Q11" t="b" cm="1">
        <f t="array" ref="Q11:R15">tblSolution[]=F4:G8</f>
        <v>1</v>
      </c>
      <c r="R11" t="b">
        <v>1</v>
      </c>
    </row>
    <row r="12" spans="2:24" x14ac:dyDescent="0.25">
      <c r="B12" s="9" t="s">
        <v>7</v>
      </c>
      <c r="C12" s="12">
        <v>46030</v>
      </c>
      <c r="N12" t="s">
        <v>6</v>
      </c>
      <c r="O12">
        <v>46025</v>
      </c>
      <c r="Q12" t="b">
        <v>1</v>
      </c>
      <c r="R12" t="b">
        <v>1</v>
      </c>
    </row>
    <row r="13" spans="2:24" ht="18.75" x14ac:dyDescent="0.3">
      <c r="B13" s="1" t="s">
        <v>9</v>
      </c>
      <c r="I13" s="3" t="s">
        <v>10</v>
      </c>
      <c r="N13" t="s">
        <v>5</v>
      </c>
      <c r="O13">
        <v>2</v>
      </c>
      <c r="Q13" t="b">
        <v>1</v>
      </c>
      <c r="R13" t="b">
        <v>1</v>
      </c>
    </row>
    <row r="14" spans="2:24" ht="15.75" x14ac:dyDescent="0.25">
      <c r="B14" s="2" t="s">
        <v>11</v>
      </c>
      <c r="I14" s="3" t="s">
        <v>12</v>
      </c>
      <c r="N14" t="s">
        <v>7</v>
      </c>
      <c r="O14">
        <v>46030</v>
      </c>
      <c r="Q14" t="b">
        <v>1</v>
      </c>
      <c r="R14" t="b">
        <v>1</v>
      </c>
    </row>
    <row r="15" spans="2:24" ht="15.75" x14ac:dyDescent="0.25">
      <c r="B15" s="2" t="s">
        <v>13</v>
      </c>
      <c r="N15" t="s">
        <v>8</v>
      </c>
      <c r="O15">
        <v>46027</v>
      </c>
      <c r="Q15" t="b">
        <v>1</v>
      </c>
      <c r="R15" t="b">
        <v>1</v>
      </c>
    </row>
    <row r="16" spans="2:24" ht="15.75" x14ac:dyDescent="0.25">
      <c r="B16" s="2" t="s">
        <v>14</v>
      </c>
    </row>
  </sheetData>
  <sortState xmlns:xlrd2="http://schemas.microsoft.com/office/spreadsheetml/2017/richdata2" ref="F4:G8">
    <sortCondition ref="F4:F8"/>
  </sortState>
  <mergeCells count="2">
    <mergeCell ref="B2:D2"/>
    <mergeCell ref="F2:G2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FD2360-DEF8-49E8-ADAC-4AE5BDC5B8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2026-02-03T18:26:37Z</dcterms:modified>
  <cp:category/>
  <cp:contentStatus/>
</cp:coreProperties>
</file>