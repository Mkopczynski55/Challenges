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79" documentId="8_{4EDFBEF3-6FA9-4779-98B8-8D2272C67A92}" xr6:coauthVersionLast="47" xr6:coauthVersionMax="47" xr10:uidLastSave="{B7CE8023-2A75-42EB-A64D-6BAEDFAD36FC}"/>
  <bookViews>
    <workbookView xWindow="-120" yWindow="-120" windowWidth="29040" windowHeight="15720" xr2:uid="{01C07523-956D-49DD-B8E7-BDEF3D02612B}"/>
  </bookViews>
  <sheets>
    <sheet name="102" sheetId="7" r:id="rId1"/>
  </sheets>
  <definedNames>
    <definedName name="ExternalData_1" localSheetId="0" hidden="1">'102'!$Q$2:$Q$3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7" l="1" a="1"/>
  <c r="Q6" i="7" s="1"/>
  <c r="O6" i="7"/>
  <c r="M6" i="7"/>
  <c r="O3" i="7" a="1"/>
  <c r="O3" i="7" s="1"/>
  <c r="M3" i="7" a="1"/>
  <c r="M3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24302-8691-4830-BF43-38DCE823F1C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re
df = xl(%P2%, headers=True)
df["Status"] = df["Status"].apply(
lambda x: re.search("(?i)^(?=.*COMPLETE)(?!.*INCOMPLETE)(?=.*OK)(?!.*NOT.?OK).*$", x) != None)
df["Status"].sum()
</code>
    </pythonScript>
  </pythonScripts>
</python>
</file>

<file path=xl/sharedStrings.xml><?xml version="1.0" encoding="utf-8"?>
<sst xmlns="http://schemas.openxmlformats.org/spreadsheetml/2006/main" count="32" uniqueCount="32">
  <si>
    <t>Invoice</t>
  </si>
  <si>
    <t>Status</t>
  </si>
  <si>
    <t>Complete &amp; OK</t>
  </si>
  <si>
    <t>Inv01</t>
  </si>
  <si>
    <t xml:space="preserve"> COMPLETED_OK </t>
  </si>
  <si>
    <t>Inv02</t>
  </si>
  <si>
    <t xml:space="preserve"> CLOSED _NOT OK</t>
  </si>
  <si>
    <t>Inv03</t>
  </si>
  <si>
    <t xml:space="preserve"> ON_HOLD_RISK </t>
  </si>
  <si>
    <t>Easy Sunday Excel Challenge</t>
  </si>
  <si>
    <t>Inv04</t>
  </si>
  <si>
    <t xml:space="preserve"> ACTIVE ; 1ST CHECK OK</t>
  </si>
  <si>
    <t>⭐Count Complete and OK Invoices</t>
  </si>
  <si>
    <t>Inv05</t>
  </si>
  <si>
    <t>INCOMPLETE</t>
  </si>
  <si>
    <t>⭐Status is entered Manually</t>
  </si>
  <si>
    <t>Inv06</t>
  </si>
  <si>
    <t>NOT-OK; INCOMPLETE</t>
  </si>
  <si>
    <t>⭐Solution MUST be dynamic</t>
  </si>
  <si>
    <t>Inv07</t>
  </si>
  <si>
    <t>DRAFT COMPLETE</t>
  </si>
  <si>
    <t>To Support the Challenges</t>
  </si>
  <si>
    <t>Inv08</t>
  </si>
  <si>
    <t>OK; CHECKED, COMPLETED</t>
  </si>
  <si>
    <t>Buy the Book</t>
  </si>
  <si>
    <t>Inv09</t>
  </si>
  <si>
    <t>DRAFT OK</t>
  </si>
  <si>
    <t>Inv10</t>
  </si>
  <si>
    <t>COMPLETED_ON_HOLD</t>
  </si>
  <si>
    <t>Inv11</t>
  </si>
  <si>
    <t>COMPLETE_OK</t>
  </si>
  <si>
    <t>tblSolution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</si>
</sst>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0" fillId="0" borderId="4" xfId="0" applyBorder="1"/>
    <xf numFmtId="0" fontId="0" fillId="0" borderId="5" xfId="0" applyBorder="1"/>
    <xf numFmtId="0" fontId="5" fillId="2" borderId="1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1" applyFont="1" applyAlignment="1">
      <alignment horizontal="right"/>
    </xf>
  </cellXfs>
  <cellStyles count="2">
    <cellStyle name="Hiperłącze" xfId="1" builtinId="8"/>
    <cellStyle name="Normalny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84781E52-720C-4F7B-8C25-5243F0BD00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10" Type="http://schemas.microsoft.com/office/2017/06/relationships/rdSupportingPropertyBag" Target="richData/rdsupportingpropertybag.xml"/><Relationship Id="rId4" Type="http://schemas.openxmlformats.org/officeDocument/2006/relationships/styles" Target="styles.xml"/><Relationship Id="rId9" Type="http://schemas.microsoft.com/office/2017/06/relationships/rdSupportingPropertyBagStructure" Target="richData/rdsupportingpropertybagstructure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0</xdr:row>
      <xdr:rowOff>57150</xdr:rowOff>
    </xdr:from>
    <xdr:ext cx="1314450" cy="1593052"/>
    <xdr:pic>
      <xdr:nvPicPr>
        <xdr:cNvPr id="2" name="Picture 1">
          <a:extLst>
            <a:ext uri="{FF2B5EF4-FFF2-40B4-BE49-F238E27FC236}">
              <a16:creationId xmlns:a16="http://schemas.microsoft.com/office/drawing/2014/main" id="{D6F8F6E7-695B-4B5F-811D-B8DFD1DA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57150"/>
          <a:ext cx="1314450" cy="1593052"/>
        </a:xfrm>
        <a:prstGeom prst="rect">
          <a:avLst/>
        </a:prstGeom>
      </xdr:spPr>
    </xdr:pic>
    <xdr:clientData/>
  </xdr:oneCellAnchor>
  <xdr:twoCellAnchor editAs="oneCell">
    <xdr:from>
      <xdr:col>2</xdr:col>
      <xdr:colOff>1590674</xdr:colOff>
      <xdr:row>9</xdr:row>
      <xdr:rowOff>38100</xdr:rowOff>
    </xdr:from>
    <xdr:to>
      <xdr:col>10</xdr:col>
      <xdr:colOff>551134</xdr:colOff>
      <xdr:row>13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7BA90-D392-4E7D-87A6-55413A62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6474" y="1828800"/>
          <a:ext cx="4418285" cy="7810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0801C0-D5F4-4142-BD92-2D0D023E0F62}" autoFormatId="16" applyNumberFormats="0" applyBorderFormats="0" applyFontFormats="0" applyPatternFormats="0" applyAlignmentFormats="0" applyWidthHeightFormats="0">
  <queryTableRefresh nextId="2">
    <queryTableFields count="1">
      <queryTableField id="1" name="tblSolution" tableColumnId="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>3</fb>
    <v>&lt;class 'numpy.int64'&gt;</v>
    <v>int64</v>
    <v>3</v>
    <v>3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i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udostępnione przez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B97C-6A3F-4D24-82F3-8D695CCC0EDA}" name="tblStart" displayName="tblStart" ref="B2:C13" totalsRowShown="0" headerRowDxfId="5" headerRowBorderDxfId="4" tableBorderDxfId="3" totalsRowBorderDxfId="2">
  <autoFilter ref="B2:C13" xr:uid="{1A63B97C-6A3F-4D24-82F3-8D695CCC0EDA}">
    <filterColumn colId="0" hiddenButton="1"/>
    <filterColumn colId="1" hiddenButton="1"/>
  </autoFilter>
  <tableColumns count="2">
    <tableColumn id="1" xr3:uid="{043A50EB-FB49-4C70-A30F-946A70B60A9A}" name="Invoice" dataDxfId="1"/>
    <tableColumn id="2" xr3:uid="{C5942218-811F-47A7-B853-C7C6D5F41F22}" name="Status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011B0-0679-483A-92CD-A3155AF86E40}" name="tblSolution" displayName="tblSolution" ref="Q2:Q3" tableType="queryTable" totalsRowShown="0">
  <autoFilter ref="Q2:Q3" xr:uid="{625011B0-0679-483A-92CD-A3155AF86E40}"/>
  <tableColumns count="1">
    <tableColumn id="1" xr3:uid="{2BC26975-7789-47C4-A440-2DFE9DB0A537}" uniqueName="1" name="tblSolution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0BC-E74F-453E-A250-1E3A84AD4840}">
  <dimension ref="B2:Q13"/>
  <sheetViews>
    <sheetView showGridLines="0" tabSelected="1" workbookViewId="0">
      <selection activeCell="N10" sqref="N10"/>
    </sheetView>
  </sheetViews>
  <sheetFormatPr defaultRowHeight="15" x14ac:dyDescent="0.25"/>
  <cols>
    <col min="1" max="1" width="2.7109375" customWidth="1"/>
    <col min="2" max="2" width="7.5703125" bestFit="1" customWidth="1"/>
    <col min="3" max="3" width="24.140625" customWidth="1"/>
    <col min="4" max="4" width="2.28515625" customWidth="1"/>
    <col min="5" max="5" width="14.7109375" bestFit="1" customWidth="1"/>
    <col min="8" max="8" width="4.140625" customWidth="1"/>
    <col min="15" max="15" width="11" bestFit="1" customWidth="1"/>
    <col min="17" max="17" width="13.140625" bestFit="1" customWidth="1"/>
  </cols>
  <sheetData>
    <row r="2" spans="2:17" x14ac:dyDescent="0.25">
      <c r="B2" s="3" t="s">
        <v>0</v>
      </c>
      <c r="C2" s="4" t="s">
        <v>1</v>
      </c>
      <c r="E2" s="7" t="s">
        <v>2</v>
      </c>
      <c r="Q2" t="s">
        <v>31</v>
      </c>
    </row>
    <row r="3" spans="2:17" x14ac:dyDescent="0.25">
      <c r="B3" s="8" t="s">
        <v>3</v>
      </c>
      <c r="C3" s="9" t="s">
        <v>4</v>
      </c>
      <c r="E3" s="12">
        <v>3</v>
      </c>
      <c r="M3" cm="1">
        <f t="array" ref="M3">SUM(--(_xlfn.BYROW(tblStart[Status],_xlfn.LAMBDA(_xlpm.r,_xlfn.REGEXTEST(_xlpm.r, "(?i)^(?=.*COMPLETE)(?!.*INCOMPLETE)(?=.*OK)(?!.*NOT.?OK).*$")))))</f>
        <v>3</v>
      </c>
      <c r="O3" cm="1" vm="1">
        <f t="array" ref="O3">_xlfn._xlws.PY(0,1,tblStart[[#All],[Status]])</f>
        <v>3</v>
      </c>
      <c r="Q3">
        <v>3</v>
      </c>
    </row>
    <row r="4" spans="2:17" x14ac:dyDescent="0.25">
      <c r="B4" s="5" t="s">
        <v>5</v>
      </c>
      <c r="C4" s="6" t="s">
        <v>6</v>
      </c>
    </row>
    <row r="5" spans="2:17" ht="18.75" x14ac:dyDescent="0.3">
      <c r="B5" s="5" t="s">
        <v>7</v>
      </c>
      <c r="C5" s="6" t="s">
        <v>8</v>
      </c>
      <c r="E5" s="1" t="s">
        <v>9</v>
      </c>
    </row>
    <row r="6" spans="2:17" ht="15.75" x14ac:dyDescent="0.25">
      <c r="B6" s="5" t="s">
        <v>10</v>
      </c>
      <c r="C6" s="6" t="s">
        <v>11</v>
      </c>
      <c r="E6" s="2" t="s">
        <v>12</v>
      </c>
      <c r="M6" t="b">
        <f>E3=M3</f>
        <v>1</v>
      </c>
      <c r="O6" t="b">
        <f>O3=E3</f>
        <v>1</v>
      </c>
      <c r="Q6" t="b" cm="1">
        <f t="array" ref="Q6">tblSolution[tblSolution]=E3</f>
        <v>1</v>
      </c>
    </row>
    <row r="7" spans="2:17" ht="15.75" x14ac:dyDescent="0.25">
      <c r="B7" s="5" t="s">
        <v>13</v>
      </c>
      <c r="C7" s="6" t="s">
        <v>14</v>
      </c>
      <c r="E7" s="2" t="s">
        <v>15</v>
      </c>
    </row>
    <row r="8" spans="2:17" ht="15.75" x14ac:dyDescent="0.25">
      <c r="B8" s="5" t="s">
        <v>16</v>
      </c>
      <c r="C8" s="6" t="s">
        <v>17</v>
      </c>
      <c r="E8" s="2" t="s">
        <v>18</v>
      </c>
    </row>
    <row r="9" spans="2:17" x14ac:dyDescent="0.25">
      <c r="B9" s="5" t="s">
        <v>19</v>
      </c>
      <c r="C9" s="6" t="s">
        <v>20</v>
      </c>
      <c r="I9" s="13"/>
      <c r="J9" s="14" t="s">
        <v>21</v>
      </c>
      <c r="K9" s="13"/>
    </row>
    <row r="10" spans="2:17" x14ac:dyDescent="0.25">
      <c r="B10" s="8" t="s">
        <v>22</v>
      </c>
      <c r="C10" s="9" t="s">
        <v>23</v>
      </c>
      <c r="I10" s="13"/>
      <c r="J10" s="14" t="s">
        <v>24</v>
      </c>
      <c r="K10" s="13"/>
    </row>
    <row r="11" spans="2:17" x14ac:dyDescent="0.25">
      <c r="B11" s="5" t="s">
        <v>25</v>
      </c>
      <c r="C11" s="6" t="s">
        <v>26</v>
      </c>
    </row>
    <row r="12" spans="2:17" x14ac:dyDescent="0.25">
      <c r="B12" s="5" t="s">
        <v>27</v>
      </c>
      <c r="C12" s="6" t="s">
        <v>28</v>
      </c>
    </row>
    <row r="13" spans="2:17" x14ac:dyDescent="0.25">
      <c r="B13" s="10" t="s">
        <v>29</v>
      </c>
      <c r="C13" s="11" t="s">
        <v>30</v>
      </c>
    </row>
  </sheetData>
  <phoneticPr fontId="6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FCAC4-AAD1-4F10-88AD-95AA46AF5A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2026-02-14T12:40:03Z</dcterms:modified>
  <cp:category/>
  <cp:contentStatus/>
</cp:coreProperties>
</file>