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98" documentId="8_{56B5D77E-B683-4146-97C3-59E114395CBC}" xr6:coauthVersionLast="47" xr6:coauthVersionMax="47" xr10:uidLastSave="{55AECFB2-DD40-4081-8943-9B25D710F9CB}"/>
  <bookViews>
    <workbookView xWindow="-120" yWindow="-120" windowWidth="29040" windowHeight="15720" xr2:uid="{01C07523-956D-49DD-B8E7-BDEF3D02612B}"/>
  </bookViews>
  <sheets>
    <sheet name="114" sheetId="11" r:id="rId1"/>
  </sheets>
  <definedNames>
    <definedName name="ExternalData_1" localSheetId="0" hidden="1">'114'!$L$10:$N$15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1" l="1" a="1"/>
  <c r="L18" i="11" a="1"/>
  <c r="P10" i="11" a="1"/>
  <c r="L3" i="11" a="1"/>
  <c r="P18" i="11" l="1"/>
  <c r="L18" i="11"/>
  <c r="P10" i="11"/>
  <c r="L3" i="11"/>
  <c r="P3" i="11" l="1" a="1"/>
  <c r="P3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17975C-A0D4-4274-BAD5-666243A5F20C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inv = xl(%P2%, headers = True)
pmt = xl(%P3%, headers = True)
def fxAllocate(c):
    p = pmt[pmt["Customer"] == c]["Payment"].iloc[0]
    inc = list(inv[inv["Customer"] == c]["Invoice"])
    i = list(inv[inv["Customer"] == c]["Amount"])
    al = []
    re = []
    for pm in i:
        al.append(min(p, pm))
        re.append(max(0, pm - p))
        p = max(p - pm, 0)
    return pd.DataFrame({"Invoice": inc, "Allocated": al, "Remaining": re})
df = result = pd.concat([fxAllocate(c) for c in pmt["Customer"]], ignore_index=True)
df</code>
    </pythonScript>
  </pythonScripts>
</python>
</file>

<file path=xl/sharedStrings.xml><?xml version="1.0" encoding="utf-8"?>
<sst xmlns="http://schemas.openxmlformats.org/spreadsheetml/2006/main" count="39" uniqueCount="19">
  <si>
    <t>Problem</t>
  </si>
  <si>
    <t>Solution</t>
  </si>
  <si>
    <t>Customer</t>
  </si>
  <si>
    <t>Invoice</t>
  </si>
  <si>
    <t>Amount</t>
  </si>
  <si>
    <t>Allocated</t>
  </si>
  <si>
    <t>Remaining</t>
  </si>
  <si>
    <t>A</t>
  </si>
  <si>
    <t>INV1</t>
  </si>
  <si>
    <t>INV2</t>
  </si>
  <si>
    <t>INV3</t>
  </si>
  <si>
    <t>B</t>
  </si>
  <si>
    <t>INV4</t>
  </si>
  <si>
    <t>INV5</t>
  </si>
  <si>
    <t>Payment</t>
  </si>
  <si>
    <t>Easy Sunday Excel Challenge</t>
  </si>
  <si>
    <t>⭐Allocate Payments to Invoices</t>
  </si>
  <si>
    <t>⭐Payment allocated per Customer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</si>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</sst>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9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6" fillId="0" borderId="0" xfId="0" applyFont="1"/>
  </cellXfs>
  <cellStyles count="1">
    <cellStyle name="Normalny" xfId="0" builtinId="0"/>
  </cellStyles>
  <dxfs count="23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E5908868-28A9-4291-91D8-17E8D7A22E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12</xdr:row>
      <xdr:rowOff>47625</xdr:rowOff>
    </xdr:from>
    <xdr:to>
      <xdr:col>8</xdr:col>
      <xdr:colOff>389210</xdr:colOff>
      <xdr:row>16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0219D-545D-4E35-A538-5C263D73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2400300"/>
          <a:ext cx="4418285" cy="7810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14A8CA-D623-492B-8E54-2F2424CBED4D}" autoFormatId="16" applyNumberFormats="0" applyBorderFormats="0" applyFontFormats="0" applyPatternFormats="0" applyAlignmentFormats="0" applyWidthHeightFormats="0">
  <queryTableRefresh nextId="5">
    <queryTableFields count="3">
      <queryTableField id="2" name="Invoice" tableColumnId="2"/>
      <queryTableField id="3" name="Allocated" tableColumnId="3"/>
      <queryTableField id="4" name="Remaining" tableColumnId="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4A032-4FC8-4220-894C-2BE8803C3C97}" name="tblPay" displayName="tblPay" ref="B10:C12" totalsRowShown="0" headerRowDxfId="22" dataDxfId="20" headerRowBorderDxfId="21" tableBorderDxfId="19" totalsRowBorderDxfId="18">
  <autoFilter ref="B10:C12" xr:uid="{0734A032-4FC8-4220-894C-2BE8803C3C97}">
    <filterColumn colId="0" hiddenButton="1"/>
    <filterColumn colId="1" hiddenButton="1"/>
  </autoFilter>
  <tableColumns count="2">
    <tableColumn id="1" xr3:uid="{B767771D-2A24-46B3-8344-7D6A107A5C88}" name="Customer" dataDxfId="17"/>
    <tableColumn id="2" xr3:uid="{D85B27D9-D772-45EC-817F-DCCDD41D3E16}" name="Payment" dataDxfId="1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A8CF19-734E-45B3-886E-A1365F956477}" name="Table2" displayName="Table2" ref="F3:H8" totalsRowShown="0" headerRowDxfId="15" dataDxfId="13" headerRowBorderDxfId="14" tableBorderDxfId="12" totalsRowBorderDxfId="11">
  <autoFilter ref="F3:H8" xr:uid="{37A8CF19-734E-45B3-886E-A1365F956477}">
    <filterColumn colId="0" hiddenButton="1"/>
    <filterColumn colId="1" hiddenButton="1"/>
    <filterColumn colId="2" hiddenButton="1"/>
  </autoFilter>
  <tableColumns count="3">
    <tableColumn id="1" xr3:uid="{CB4CB307-9714-407B-B9AD-0B256F80962A}" name="Invoice" dataDxfId="10"/>
    <tableColumn id="2" xr3:uid="{09DD27CD-7D42-4526-BA50-42B7549CD384}" name="Allocated" dataDxfId="9"/>
    <tableColumn id="3" xr3:uid="{9FD5EDC1-A34B-4939-B527-E5DD14194D1E}" name="Remaining" dataDxfId="8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85A3AE-4FAA-459C-8E45-A5FAEB7613E5}" name="tblInv" displayName="tblInv" ref="B3:D8" totalsRowShown="0" headerRowDxfId="7" dataDxfId="5" headerRowBorderDxfId="6" tableBorderDxfId="4" totalsRowBorderDxfId="3">
  <autoFilter ref="B3:D8" xr:uid="{4685A3AE-4FAA-459C-8E45-A5FAEB7613E5}">
    <filterColumn colId="0" hiddenButton="1"/>
    <filterColumn colId="1" hiddenButton="1"/>
    <filterColumn colId="2" hiddenButton="1"/>
  </autoFilter>
  <tableColumns count="3">
    <tableColumn id="1" xr3:uid="{BBBD76A0-108D-4453-BFAA-1D17DBF6C43A}" name="Customer" dataDxfId="2"/>
    <tableColumn id="2" xr3:uid="{B959DEB4-BD99-4B5E-90B1-355A6DCFAFFD}" name="Invoice" dataDxfId="1"/>
    <tableColumn id="3" xr3:uid="{56B5EDC9-9933-47E5-A117-C61FDA9869F1}" name="Amount" dataDxfId="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1AAFC0-67D0-4FF3-A3AD-0CF5645B2AC0}" name="tblSolution" displayName="tblSolution" ref="L10:N15" tableType="queryTable" totalsRowShown="0">
  <autoFilter ref="L10:N15" xr:uid="{471AAFC0-67D0-4FF3-A3AD-0CF5645B2AC0}"/>
  <tableColumns count="3">
    <tableColumn id="2" xr3:uid="{DF482644-9649-4726-B9FF-2B7A6BCA7C5E}" uniqueName="2" name="Invoice" queryTableFieldId="2"/>
    <tableColumn id="3" xr3:uid="{586E2F77-A618-47C4-916F-02130794C83F}" uniqueName="3" name="Allocated" queryTableFieldId="3"/>
    <tableColumn id="4" xr3:uid="{4495361D-AD93-4E9F-8400-A28F6456FD1A}" uniqueName="4" name="Remaining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831A-6AD1-450C-919A-D8EACC9867D0}">
  <dimension ref="B1:R23"/>
  <sheetViews>
    <sheetView showGridLines="0" tabSelected="1" workbookViewId="0">
      <selection activeCell="N24" sqref="N15:N24"/>
    </sheetView>
  </sheetViews>
  <sheetFormatPr defaultRowHeight="15" x14ac:dyDescent="0.25"/>
  <cols>
    <col min="1" max="1" width="4.7109375" customWidth="1"/>
    <col min="2" max="2" width="9.5703125" bestFit="1" customWidth="1"/>
    <col min="3" max="3" width="8.85546875" bestFit="1" customWidth="1"/>
    <col min="4" max="4" width="8.140625" bestFit="1" customWidth="1"/>
    <col min="5" max="5" width="6.5703125" customWidth="1"/>
    <col min="6" max="6" width="7.42578125" bestFit="1" customWidth="1"/>
    <col min="7" max="7" width="9.42578125" bestFit="1" customWidth="1"/>
    <col min="8" max="8" width="10.42578125" bestFit="1" customWidth="1"/>
    <col min="12" max="12" width="11" bestFit="1" customWidth="1"/>
    <col min="13" max="13" width="11.7109375" bestFit="1" customWidth="1"/>
    <col min="14" max="15" width="12.7109375" bestFit="1" customWidth="1"/>
  </cols>
  <sheetData>
    <row r="1" spans="2:18" ht="6" customHeight="1" x14ac:dyDescent="0.25"/>
    <row r="2" spans="2:18" x14ac:dyDescent="0.25">
      <c r="B2" s="3" t="s">
        <v>0</v>
      </c>
      <c r="F2" s="13" t="s">
        <v>1</v>
      </c>
    </row>
    <row r="3" spans="2:18" x14ac:dyDescent="0.25">
      <c r="B3" s="4" t="s">
        <v>2</v>
      </c>
      <c r="C3" s="5" t="s">
        <v>3</v>
      </c>
      <c r="D3" s="6" t="s">
        <v>4</v>
      </c>
      <c r="F3" s="4" t="s">
        <v>3</v>
      </c>
      <c r="G3" s="5" t="s">
        <v>5</v>
      </c>
      <c r="H3" s="6" t="s">
        <v>6</v>
      </c>
      <c r="L3" t="str" cm="1">
        <f t="array" ref="L3:N8">_xlfn.LET(
_xlpm._inv_, tblInv[],
_xlpm._pay_, tblPay[],
_xlpm._unq_, _xlfn.UNIQUE(_xlfn.CHOOSECOLS(_xlpm._pay_, 1)),
_xlpm._p_, _xlfn.CHOOSECOLS(_xlpm._pay_, 2),
_xlpm._cust_, _xlfn.CHOOSECOLS(_xlpm._inv_, 1),
_xlpm._amt_, _xlfn.CHOOSECOLS(_xlpm._inv_, 3),
_xlpm._res_, _xlfn.REDUCE("", _xlpm._unq_, _xlfn.LAMBDA(_xlpm.s,_xlpm.c, _xlfn.LET(_xlpm.amt_c, _xlfn._xlws.FILTER(_xlpm._amt_, _xlpm._cust_ =  _xlpm.c), _xlpm.pc, _xlfn._xlws.FILTER(_xlpm._p_, _xlpm._unq_ = _xlpm.c), _xlpm.mp, _xlfn.DROP(_xlfn.MAP(IF(_xlfn.VSTACK(_xlpm.pc,_xlfn.SCAN(_xlpm.pc, _xlpm.amt_c, _xlfn.LAMBDA(_xlpm.ss,_xlpm.cc, _xlpm.ss - _xlpm.cc)))&gt;=0,_xlfn.VSTACK(_xlpm.pc,_xlfn.SCAN(_xlpm.pc, _xlpm.amt_c, _xlfn.LAMBDA(_xlpm.ss,_xlpm.cc, _xlpm.ss - _xlpm.cc))),0), _xlfn.VSTACK(_xlpm.amt_c, 0), _xlfn.LAMBDA(_xlpm.t,_xlpm.x, MIN(_xlpm.t, _xlpm.x))), -1), _xlpm.ro, _xlpm.amt_c- _xlpm.mp, _xlfn.VSTACK(_xlpm.s, _xlfn.HSTACK(_xlpm.mp, _xlpm.ro))))),
_xlpm._headers_, {"Invoice","Allocated","Remaining"},
_xlpm._sol_, _xlfn.VSTACK(_xlpm._headers_, _xlfn.HSTACK(_xlfn.CHOOSECOLS(_xlpm._inv_, 2),_xlfn.DROP(_xlpm._res_, 1))),
_xlpm._sol_)</f>
        <v>Invoice</v>
      </c>
      <c r="M3" t="str">
        <v>Allocated</v>
      </c>
      <c r="N3" t="str">
        <v>Remaining</v>
      </c>
      <c r="P3" t="b" cm="1">
        <f t="array" ref="P3:R8">_xlfn.ANCHORARRAY(L3)=Table2[#All]</f>
        <v>1</v>
      </c>
      <c r="Q3" t="b">
        <v>1</v>
      </c>
      <c r="R3" t="b">
        <v>1</v>
      </c>
    </row>
    <row r="4" spans="2:18" x14ac:dyDescent="0.25">
      <c r="B4" s="7" t="s">
        <v>7</v>
      </c>
      <c r="C4" s="8" t="s">
        <v>8</v>
      </c>
      <c r="D4" s="9">
        <v>100</v>
      </c>
      <c r="F4" s="7" t="s">
        <v>8</v>
      </c>
      <c r="G4" s="8">
        <v>100</v>
      </c>
      <c r="H4" s="9">
        <v>0</v>
      </c>
      <c r="L4" t="str">
        <v>INV1</v>
      </c>
      <c r="M4">
        <v>100</v>
      </c>
      <c r="N4">
        <v>0</v>
      </c>
      <c r="P4" t="b">
        <v>1</v>
      </c>
      <c r="Q4" t="b">
        <v>1</v>
      </c>
      <c r="R4" t="b">
        <v>1</v>
      </c>
    </row>
    <row r="5" spans="2:18" x14ac:dyDescent="0.25">
      <c r="B5" s="7" t="s">
        <v>7</v>
      </c>
      <c r="C5" s="8" t="s">
        <v>9</v>
      </c>
      <c r="D5" s="9">
        <v>150</v>
      </c>
      <c r="F5" s="7" t="s">
        <v>9</v>
      </c>
      <c r="G5" s="8">
        <v>120</v>
      </c>
      <c r="H5" s="9">
        <v>30</v>
      </c>
      <c r="L5" t="str">
        <v>INV2</v>
      </c>
      <c r="M5">
        <v>120</v>
      </c>
      <c r="N5">
        <v>30</v>
      </c>
      <c r="P5" t="b">
        <v>1</v>
      </c>
      <c r="Q5" t="b">
        <v>1</v>
      </c>
      <c r="R5" t="b">
        <v>1</v>
      </c>
    </row>
    <row r="6" spans="2:18" x14ac:dyDescent="0.25">
      <c r="B6" s="7" t="s">
        <v>7</v>
      </c>
      <c r="C6" s="8" t="s">
        <v>10</v>
      </c>
      <c r="D6" s="9">
        <v>200</v>
      </c>
      <c r="F6" s="7" t="s">
        <v>10</v>
      </c>
      <c r="G6" s="8">
        <v>0</v>
      </c>
      <c r="H6" s="9">
        <v>200</v>
      </c>
      <c r="L6" t="str">
        <v>INV3</v>
      </c>
      <c r="M6">
        <v>0</v>
      </c>
      <c r="N6">
        <v>200</v>
      </c>
      <c r="P6" t="b">
        <v>1</v>
      </c>
      <c r="Q6" t="b">
        <v>1</v>
      </c>
      <c r="R6" t="b">
        <v>1</v>
      </c>
    </row>
    <row r="7" spans="2:18" x14ac:dyDescent="0.25">
      <c r="B7" s="7" t="s">
        <v>11</v>
      </c>
      <c r="C7" s="8" t="s">
        <v>12</v>
      </c>
      <c r="D7" s="9">
        <v>100</v>
      </c>
      <c r="F7" s="7" t="s">
        <v>12</v>
      </c>
      <c r="G7" s="8">
        <v>100</v>
      </c>
      <c r="H7" s="9">
        <v>0</v>
      </c>
      <c r="L7" t="str">
        <v>INV4</v>
      </c>
      <c r="M7">
        <v>100</v>
      </c>
      <c r="N7">
        <v>0</v>
      </c>
      <c r="P7" t="b">
        <v>1</v>
      </c>
      <c r="Q7" t="b">
        <v>1</v>
      </c>
      <c r="R7" t="b">
        <v>1</v>
      </c>
    </row>
    <row r="8" spans="2:18" x14ac:dyDescent="0.25">
      <c r="B8" s="10" t="s">
        <v>11</v>
      </c>
      <c r="C8" s="11" t="s">
        <v>13</v>
      </c>
      <c r="D8" s="12">
        <v>150</v>
      </c>
      <c r="F8" s="10" t="s">
        <v>13</v>
      </c>
      <c r="G8" s="11">
        <v>50</v>
      </c>
      <c r="H8" s="12">
        <v>100</v>
      </c>
      <c r="L8" t="str">
        <v>INV5</v>
      </c>
      <c r="M8">
        <v>50</v>
      </c>
      <c r="N8">
        <v>100</v>
      </c>
      <c r="P8" t="b">
        <v>1</v>
      </c>
      <c r="Q8" t="b">
        <v>1</v>
      </c>
      <c r="R8" t="b">
        <v>1</v>
      </c>
    </row>
    <row r="10" spans="2:18" ht="18.75" x14ac:dyDescent="0.3">
      <c r="B10" s="4" t="s">
        <v>2</v>
      </c>
      <c r="C10" s="5" t="s">
        <v>14</v>
      </c>
      <c r="F10" s="1" t="s">
        <v>15</v>
      </c>
      <c r="L10" t="s">
        <v>3</v>
      </c>
      <c r="M10" t="s">
        <v>5</v>
      </c>
      <c r="N10" t="s">
        <v>6</v>
      </c>
      <c r="P10" t="b" cm="1">
        <f t="array" ref="P10:R15">tblSolution[#All]=Table2[#All]</f>
        <v>1</v>
      </c>
      <c r="Q10" t="b">
        <v>1</v>
      </c>
      <c r="R10" t="b">
        <v>1</v>
      </c>
    </row>
    <row r="11" spans="2:18" ht="15.75" x14ac:dyDescent="0.25">
      <c r="B11" s="7" t="s">
        <v>7</v>
      </c>
      <c r="C11" s="9">
        <v>220</v>
      </c>
      <c r="F11" s="2" t="s">
        <v>16</v>
      </c>
      <c r="L11" t="s">
        <v>8</v>
      </c>
      <c r="M11">
        <v>100</v>
      </c>
      <c r="N11">
        <v>0</v>
      </c>
      <c r="P11" t="b">
        <v>1</v>
      </c>
      <c r="Q11" t="b">
        <v>1</v>
      </c>
      <c r="R11" t="b">
        <v>1</v>
      </c>
    </row>
    <row r="12" spans="2:18" ht="15.75" x14ac:dyDescent="0.25">
      <c r="B12" s="10" t="s">
        <v>11</v>
      </c>
      <c r="C12" s="12">
        <v>150</v>
      </c>
      <c r="F12" s="2" t="s">
        <v>17</v>
      </c>
      <c r="L12" t="s">
        <v>9</v>
      </c>
      <c r="M12">
        <v>120</v>
      </c>
      <c r="N12">
        <v>30</v>
      </c>
      <c r="P12" t="b">
        <v>1</v>
      </c>
      <c r="Q12" t="b">
        <v>1</v>
      </c>
      <c r="R12" t="b">
        <v>1</v>
      </c>
    </row>
    <row r="13" spans="2:18" ht="15.75" x14ac:dyDescent="0.25">
      <c r="F13" s="2" t="s">
        <v>18</v>
      </c>
      <c r="L13" t="s">
        <v>10</v>
      </c>
      <c r="M13">
        <v>0</v>
      </c>
      <c r="N13">
        <v>200</v>
      </c>
      <c r="P13" t="b">
        <v>1</v>
      </c>
      <c r="Q13" t="b">
        <v>1</v>
      </c>
      <c r="R13" t="b">
        <v>1</v>
      </c>
    </row>
    <row r="14" spans="2:18" x14ac:dyDescent="0.25">
      <c r="L14" t="s">
        <v>12</v>
      </c>
      <c r="M14">
        <v>100</v>
      </c>
      <c r="N14">
        <v>0</v>
      </c>
      <c r="P14" t="b">
        <v>1</v>
      </c>
      <c r="Q14" t="b">
        <v>1</v>
      </c>
      <c r="R14" t="b">
        <v>1</v>
      </c>
    </row>
    <row r="15" spans="2:18" x14ac:dyDescent="0.25">
      <c r="L15" t="s">
        <v>13</v>
      </c>
      <c r="M15">
        <v>50</v>
      </c>
      <c r="N15">
        <v>100</v>
      </c>
      <c r="P15" t="b">
        <v>1</v>
      </c>
      <c r="Q15" t="b">
        <v>1</v>
      </c>
      <c r="R15" t="b">
        <v>1</v>
      </c>
    </row>
    <row r="18" spans="12:18" x14ac:dyDescent="0.25">
      <c r="L18" t="str" cm="1">
        <f t="array" ref="L18:N23">_xlfn._xlws.PY(0,0,B3:D8,B10:C12)</f>
        <v>Invoice</v>
      </c>
      <c r="M18" t="str">
        <v>Allocated</v>
      </c>
      <c r="N18" t="str">
        <v>Remaining</v>
      </c>
      <c r="P18" t="b" cm="1">
        <f t="array" ref="P18:R23">_xlfn.ANCHORARRAY(L18)=Table2[#All]</f>
        <v>1</v>
      </c>
      <c r="Q18" t="b">
        <v>1</v>
      </c>
      <c r="R18" t="b">
        <v>1</v>
      </c>
    </row>
    <row r="19" spans="12:18" x14ac:dyDescent="0.25">
      <c r="L19" t="str">
        <v>INV1</v>
      </c>
      <c r="M19">
        <v>100</v>
      </c>
      <c r="N19">
        <v>0</v>
      </c>
      <c r="P19" t="b">
        <v>1</v>
      </c>
      <c r="Q19" t="b">
        <v>1</v>
      </c>
      <c r="R19" t="b">
        <v>1</v>
      </c>
    </row>
    <row r="20" spans="12:18" x14ac:dyDescent="0.25">
      <c r="L20" t="str">
        <v>INV2</v>
      </c>
      <c r="M20">
        <v>120</v>
      </c>
      <c r="N20">
        <v>30</v>
      </c>
      <c r="P20" t="b">
        <v>1</v>
      </c>
      <c r="Q20" t="b">
        <v>1</v>
      </c>
      <c r="R20" t="b">
        <v>1</v>
      </c>
    </row>
    <row r="21" spans="12:18" x14ac:dyDescent="0.25">
      <c r="L21" t="str">
        <v>INV3</v>
      </c>
      <c r="M21">
        <v>0</v>
      </c>
      <c r="N21">
        <v>200</v>
      </c>
      <c r="P21" t="b">
        <v>1</v>
      </c>
      <c r="Q21" t="b">
        <v>1</v>
      </c>
      <c r="R21" t="b">
        <v>1</v>
      </c>
    </row>
    <row r="22" spans="12:18" x14ac:dyDescent="0.25">
      <c r="L22" t="str">
        <v>INV4</v>
      </c>
      <c r="M22">
        <v>100</v>
      </c>
      <c r="N22">
        <v>0</v>
      </c>
      <c r="P22" t="b">
        <v>1</v>
      </c>
      <c r="Q22" t="b">
        <v>1</v>
      </c>
      <c r="R22" t="b">
        <v>1</v>
      </c>
    </row>
    <row r="23" spans="12:18" x14ac:dyDescent="0.25">
      <c r="L23" t="str">
        <v>INV5</v>
      </c>
      <c r="M23">
        <v>50</v>
      </c>
      <c r="N23">
        <v>100</v>
      </c>
      <c r="P23" t="b">
        <v>1</v>
      </c>
      <c r="Q23" t="b">
        <v>1</v>
      </c>
      <c r="R23" t="b">
        <v>1</v>
      </c>
    </row>
  </sheetData>
  <phoneticPr fontId="5" type="noConversion"/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371CDD-32AB-45D7-8EFE-166C42314A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2026-05-09T12:01:50Z</dcterms:modified>
  <cp:category/>
  <cp:contentStatus/>
</cp:coreProperties>
</file>