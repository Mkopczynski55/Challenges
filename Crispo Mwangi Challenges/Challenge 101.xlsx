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CrispoMwangi/"/>
    </mc:Choice>
  </mc:AlternateContent>
  <xr:revisionPtr revIDLastSave="62" documentId="8_{76E8779F-E57F-4840-8A0F-0ADE6D59AA7A}" xr6:coauthVersionLast="47" xr6:coauthVersionMax="47" xr10:uidLastSave="{B42AD254-77A5-43B3-8BBB-11A5E9485DDF}"/>
  <bookViews>
    <workbookView xWindow="-120" yWindow="-120" windowWidth="29040" windowHeight="15720" xr2:uid="{01C07523-956D-49DD-B8E7-BDEF3D02612B}"/>
  </bookViews>
  <sheets>
    <sheet name="101" sheetId="6" r:id="rId1"/>
  </sheets>
  <definedNames>
    <definedName name="ExternalData_1" localSheetId="0" hidden="1">'101'!$R$2:$R$9</definedName>
    <definedName name="rngLookup">'101'!$D$3:$E$4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6" l="1" a="1"/>
  <c r="W2" i="6" s="1"/>
  <c r="V2" i="6" a="1"/>
  <c r="V2" i="6" s="1"/>
  <c r="T2" i="6" a="1"/>
  <c r="T2" i="6" s="1"/>
  <c r="N2" i="6" a="1"/>
  <c r="N2" i="6" l="1"/>
  <c r="P2" i="6" a="1"/>
  <c r="P2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18F3CB-853C-41F8-AB00-7D13F13027C8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df_101 = xl(%P2%, headers=True)
df_lookup = pd.DataFrame(xl(%P3%))
df_lookup.columns = ["Repeats", "Item"]
lst = []
for row in df_101.itertuples():
    match = df_lookup.loc[df_lookup["Item"] == (row.Index + 1), "Repeats"]
    if not match.empty:
        count = int(match.values[0])
        lst.extend([row.Items] * count)
    else:
        lst.append(row.Items) 
df_101 = pd.DataFrame({
    "Solution": lst
    }
    )
df_101</code>
    </pythonScript>
  </pythonScripts>
</python>
</file>

<file path=xl/sharedStrings.xml><?xml version="1.0" encoding="utf-8"?>
<sst xmlns="http://schemas.openxmlformats.org/spreadsheetml/2006/main" count="29" uniqueCount="14">
  <si>
    <t>Problem</t>
  </si>
  <si>
    <t>Repeats:</t>
  </si>
  <si>
    <t>Item:</t>
  </si>
  <si>
    <t>Solution</t>
  </si>
  <si>
    <t>Items</t>
  </si>
  <si>
    <t>Apple</t>
  </si>
  <si>
    <t>Easy Sunday Excel Challenge</t>
  </si>
  <si>
    <t>Mango</t>
  </si>
  <si>
    <t>⭐Maintain the Items Order</t>
  </si>
  <si>
    <t>Kiwi</t>
  </si>
  <si>
    <t>⭐Solution MUST be dynamic</t>
  </si>
  <si>
    <t>To Support the Challenges</t>
  </si>
  <si>
    <t>Buy the Book</t>
  </si>
  <si>
    <t>⭐Repeat N'th Item in the table N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</si>
</sst>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9" tint="-0.249977111117893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 applyAlignment="1">
      <alignment horizontal="center"/>
    </xf>
    <xf numFmtId="0" fontId="0" fillId="0" borderId="1" xfId="0" applyBorder="1"/>
    <xf numFmtId="0" fontId="5" fillId="0" borderId="0" xfId="0" applyFont="1"/>
    <xf numFmtId="0" fontId="0" fillId="0" borderId="4" xfId="0" applyBorder="1"/>
    <xf numFmtId="0" fontId="6" fillId="0" borderId="2" xfId="0" applyFont="1" applyBorder="1"/>
    <xf numFmtId="0" fontId="6" fillId="0" borderId="3" xfId="0" applyFont="1" applyBorder="1"/>
    <xf numFmtId="0" fontId="7" fillId="0" borderId="5" xfId="0" applyFont="1" applyBorder="1"/>
    <xf numFmtId="0" fontId="8" fillId="0" borderId="1" xfId="0" applyFont="1" applyBorder="1" applyAlignment="1">
      <alignment horizontal="left"/>
    </xf>
    <xf numFmtId="0" fontId="5" fillId="2" borderId="0" xfId="0" applyFont="1" applyFill="1"/>
    <xf numFmtId="0" fontId="5" fillId="2" borderId="1" xfId="0" applyFont="1" applyFill="1" applyBorder="1" applyAlignment="1">
      <alignment horizontal="center"/>
    </xf>
    <xf numFmtId="0" fontId="9" fillId="0" borderId="0" xfId="0" applyFont="1"/>
    <xf numFmtId="0" fontId="9" fillId="0" borderId="2" xfId="0" applyFont="1" applyBorder="1"/>
  </cellXfs>
  <cellStyles count="2">
    <cellStyle name="Hiperłącze" xfId="1" builtinId="8"/>
    <cellStyle name="Normalny" xfId="0" builtinId="0"/>
  </cellStyles>
  <dxfs count="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A28A57BC-B5CC-461E-B845-3F2BCA6BFD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6</xdr:row>
      <xdr:rowOff>59738</xdr:rowOff>
    </xdr:from>
    <xdr:ext cx="1181100" cy="1431438"/>
    <xdr:pic>
      <xdr:nvPicPr>
        <xdr:cNvPr id="2" name="Picture 1">
          <a:extLst>
            <a:ext uri="{FF2B5EF4-FFF2-40B4-BE49-F238E27FC236}">
              <a16:creationId xmlns:a16="http://schemas.microsoft.com/office/drawing/2014/main" id="{4953F5E2-D52F-4E81-B5D6-36A4703DF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297988"/>
          <a:ext cx="1181100" cy="1431438"/>
        </a:xfrm>
        <a:prstGeom prst="rect">
          <a:avLst/>
        </a:prstGeom>
      </xdr:spPr>
    </xdr:pic>
    <xdr:clientData/>
  </xdr:oneCellAnchor>
  <xdr:twoCellAnchor editAs="oneCell">
    <xdr:from>
      <xdr:col>3</xdr:col>
      <xdr:colOff>152400</xdr:colOff>
      <xdr:row>9</xdr:row>
      <xdr:rowOff>133350</xdr:rowOff>
    </xdr:from>
    <xdr:to>
      <xdr:col>11</xdr:col>
      <xdr:colOff>523121</xdr:colOff>
      <xdr:row>13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DE4FEE-A95D-4857-8FC6-7E823F84D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1943100"/>
          <a:ext cx="4094996" cy="7239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2EA1A2-4D98-46BA-9AA3-381D5ADF5385}" autoFormatId="16" applyNumberFormats="0" applyBorderFormats="0" applyFontFormats="0" applyPatternFormats="0" applyAlignmentFormats="0" applyWidthHeightFormats="0">
  <queryTableRefresh nextId="2">
    <queryTableFields count="1">
      <queryTableField id="1" name="Solution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4168E-F41A-439F-97B0-12C23544730D}" name="tblData" displayName="tblData" ref="B3:B6" totalsRowShown="0">
  <autoFilter ref="B3:B6" xr:uid="{E5C4168E-F41A-439F-97B0-12C23544730D}">
    <filterColumn colId="0" hiddenButton="1"/>
  </autoFilter>
  <tableColumns count="1">
    <tableColumn id="1" xr3:uid="{DBE8EC6B-B9CC-47AD-9806-8B25F787BB4A}" name="Items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933C7E-7851-4281-B2D2-EBFFB7ED5118}" name="tblSolution" displayName="tblSolution" ref="R2:R9" tableType="queryTable" totalsRowShown="0">
  <autoFilter ref="R2:R9" xr:uid="{98933C7E-7851-4281-B2D2-EBFFB7ED5118}"/>
  <tableColumns count="1">
    <tableColumn id="1" xr3:uid="{5A64FC6F-C609-4E2B-A196-E7BE9F6C93ED}" uniqueName="1" name="Solution" queryTableField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95B9-7F1E-4159-8935-196EDAD63A2C}">
  <dimension ref="B2:W16"/>
  <sheetViews>
    <sheetView showGridLines="0" tabSelected="1" topLeftCell="E1" workbookViewId="0">
      <selection activeCell="N2" sqref="N2"/>
    </sheetView>
  </sheetViews>
  <sheetFormatPr defaultRowHeight="15" x14ac:dyDescent="0.25"/>
  <cols>
    <col min="1" max="1" width="6.42578125" customWidth="1"/>
    <col min="3" max="3" width="4.85546875" customWidth="1"/>
    <col min="4" max="4" width="9" bestFit="1" customWidth="1"/>
    <col min="5" max="5" width="5.7109375" bestFit="1" customWidth="1"/>
    <col min="6" max="6" width="2.7109375" customWidth="1"/>
    <col min="7" max="7" width="8.28515625" customWidth="1"/>
    <col min="8" max="8" width="2.7109375" customWidth="1"/>
    <col min="18" max="18" width="10.7109375" bestFit="1" customWidth="1"/>
    <col min="24" max="24" width="11" bestFit="1" customWidth="1"/>
  </cols>
  <sheetData>
    <row r="2" spans="2:23" ht="15.75" thickBot="1" x14ac:dyDescent="0.3">
      <c r="B2" s="13" t="s">
        <v>0</v>
      </c>
      <c r="D2" s="5" t="s">
        <v>1</v>
      </c>
      <c r="E2" s="11" t="s">
        <v>2</v>
      </c>
      <c r="G2" s="9" t="s">
        <v>3</v>
      </c>
      <c r="N2" t="str" cm="1">
        <f t="array" ref="N2:N9">_xlfn.LET(
_xlpm._data_, tblData[Items],
_xlpm._lkpRng_, D3:E4,
_xlpm._repCount_, _xlfn.CHOOSECOLS(_xlpm._lkpRng_, 1),
_xlpm._itemNums_, _xlfn.CHOOSECOLS(_xlpm._lkpRng_, 2),
_xlpm._itemCount_, ROWS(_xlpm._data_),
_xlpm._seq_, _xlfn.SEQUENCE(_xlpm._itemCount_),
_xlpm._map_, _xlfn.MAP(_xlpm._data_, _xlfn.MAP(_xlpm._seq_, _xlfn.LAMBDA(_xlpm.i, _xlfn.XLOOKUP(_xlpm.i, _xlpm._itemNums_, _xlpm._repCount_,_xlpm.i,0,1))), _xlfn.LAMBDA(_xlpm.e,_xlpm.j, REPT(_xlpm.e &amp; ";", _xlpm.j))),
_xlpm._combine_, _xlfn.CONCAT(_xlpm._map_),
_xlpm._split_, _xlfn.TEXTSPLIT(_xlpm._combine_,,";",1),
_xlpm._sol_, _xlfn.VSTACK("Solution", _xlpm._split_),
_xlpm._sol_)</f>
        <v>Solution</v>
      </c>
      <c r="P2" t="b" cm="1">
        <f t="array" ref="P2:P9">G2:G9=_xlfn.ANCHORARRAY(N2)</f>
        <v>1</v>
      </c>
      <c r="R2" t="s">
        <v>3</v>
      </c>
      <c r="T2" t="b" cm="1">
        <f t="array" ref="T2:T9">_xlfn.ANCHORARRAY(N2)=tblSolution[[#All],[Solution]]</f>
        <v>1</v>
      </c>
      <c r="V2" t="str" cm="1">
        <f t="array" ref="V2:V9">_xlfn._xlws.PY(0,0,tblData[[#All],[Items]],rngLookup)</f>
        <v>Solution</v>
      </c>
      <c r="W2" t="b" cm="1">
        <f t="array" ref="W2:W9">_xlfn.ANCHORARRAY(V2)=G2:G9</f>
        <v>1</v>
      </c>
    </row>
    <row r="3" spans="2:23" ht="19.5" thickTop="1" x14ac:dyDescent="0.3">
      <c r="B3" t="s">
        <v>4</v>
      </c>
      <c r="D3" s="10">
        <v>4</v>
      </c>
      <c r="E3" s="12">
        <v>2</v>
      </c>
      <c r="G3" s="7" t="s">
        <v>5</v>
      </c>
      <c r="I3" s="1" t="s">
        <v>6</v>
      </c>
      <c r="N3" t="str">
        <v>Apple</v>
      </c>
      <c r="P3" t="b">
        <v>1</v>
      </c>
      <c r="R3" t="s">
        <v>5</v>
      </c>
      <c r="T3" t="b">
        <v>1</v>
      </c>
      <c r="V3" t="str">
        <v>Apple</v>
      </c>
      <c r="W3" t="b">
        <v>1</v>
      </c>
    </row>
    <row r="4" spans="2:23" ht="15.75" x14ac:dyDescent="0.25">
      <c r="B4" s="4" t="s">
        <v>5</v>
      </c>
      <c r="D4" s="10">
        <v>2</v>
      </c>
      <c r="E4" s="12">
        <v>3</v>
      </c>
      <c r="G4" s="14" t="s">
        <v>7</v>
      </c>
      <c r="I4" s="2" t="s">
        <v>13</v>
      </c>
      <c r="N4" t="str">
        <v>Mango</v>
      </c>
      <c r="P4" t="b">
        <v>1</v>
      </c>
      <c r="R4" t="s">
        <v>7</v>
      </c>
      <c r="T4" t="b">
        <v>1</v>
      </c>
      <c r="V4" t="str">
        <v>Mango</v>
      </c>
      <c r="W4" t="b">
        <v>1</v>
      </c>
    </row>
    <row r="5" spans="2:23" ht="15.75" x14ac:dyDescent="0.25">
      <c r="B5" s="4" t="s">
        <v>7</v>
      </c>
      <c r="G5" s="14" t="s">
        <v>7</v>
      </c>
      <c r="I5" s="2" t="s">
        <v>8</v>
      </c>
      <c r="N5" t="str">
        <v>Mango</v>
      </c>
      <c r="P5" t="b">
        <v>1</v>
      </c>
      <c r="R5" t="s">
        <v>7</v>
      </c>
      <c r="T5" t="b">
        <v>1</v>
      </c>
      <c r="V5" t="str">
        <v>Mango</v>
      </c>
      <c r="W5" t="b">
        <v>1</v>
      </c>
    </row>
    <row r="6" spans="2:23" ht="15.75" x14ac:dyDescent="0.25">
      <c r="B6" s="6" t="s">
        <v>9</v>
      </c>
      <c r="G6" s="14" t="s">
        <v>7</v>
      </c>
      <c r="I6" s="2" t="s">
        <v>10</v>
      </c>
      <c r="N6" t="str">
        <v>Mango</v>
      </c>
      <c r="P6" t="b">
        <v>1</v>
      </c>
      <c r="R6" t="s">
        <v>7</v>
      </c>
      <c r="T6" t="b">
        <v>1</v>
      </c>
      <c r="V6" t="str">
        <v>Mango</v>
      </c>
      <c r="W6" t="b">
        <v>1</v>
      </c>
    </row>
    <row r="7" spans="2:23" x14ac:dyDescent="0.25">
      <c r="G7" s="14" t="s">
        <v>7</v>
      </c>
      <c r="N7" t="str">
        <v>Mango</v>
      </c>
      <c r="P7" t="b">
        <v>1</v>
      </c>
      <c r="R7" t="s">
        <v>7</v>
      </c>
      <c r="T7" t="b">
        <v>1</v>
      </c>
      <c r="V7" t="str">
        <v>Mango</v>
      </c>
      <c r="W7" t="b">
        <v>1</v>
      </c>
    </row>
    <row r="8" spans="2:23" x14ac:dyDescent="0.25">
      <c r="G8" s="7" t="s">
        <v>9</v>
      </c>
      <c r="N8" t="str">
        <v>Kiwi</v>
      </c>
      <c r="P8" t="b">
        <v>1</v>
      </c>
      <c r="R8" t="s">
        <v>9</v>
      </c>
      <c r="T8" t="b">
        <v>1</v>
      </c>
      <c r="V8" t="str">
        <v>Kiwi</v>
      </c>
      <c r="W8" t="b">
        <v>1</v>
      </c>
    </row>
    <row r="9" spans="2:23" x14ac:dyDescent="0.25">
      <c r="G9" s="8" t="s">
        <v>9</v>
      </c>
      <c r="N9" t="str">
        <v>Kiwi</v>
      </c>
      <c r="P9" t="b">
        <v>1</v>
      </c>
      <c r="R9" t="s">
        <v>9</v>
      </c>
      <c r="T9" t="b">
        <v>1</v>
      </c>
      <c r="V9" t="str">
        <v>Kiwi</v>
      </c>
      <c r="W9" t="b">
        <v>1</v>
      </c>
    </row>
    <row r="15" spans="2:23" x14ac:dyDescent="0.25">
      <c r="B15" s="3" t="s">
        <v>11</v>
      </c>
    </row>
    <row r="16" spans="2:23" x14ac:dyDescent="0.25">
      <c r="B16" s="3" t="s">
        <v>12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5ED0D7-D2AC-4860-A7AC-CA068054DE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101</vt:lpstr>
      <vt:lpstr>rngLookup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2026-02-01T12:49:37Z</dcterms:modified>
  <cp:category/>
  <cp:contentStatus/>
</cp:coreProperties>
</file>