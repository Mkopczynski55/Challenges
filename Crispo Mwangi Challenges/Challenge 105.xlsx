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3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42" documentId="8_{0AC275B9-56CD-4704-9FD6-6A50A631131B}" xr6:coauthVersionLast="47" xr6:coauthVersionMax="47" xr10:uidLastSave="{16550711-2D0F-4D51-8D5C-00C398DAD104}"/>
  <bookViews>
    <workbookView xWindow="-120" yWindow="-120" windowWidth="29040" windowHeight="15720" xr2:uid="{01C07523-956D-49DD-B8E7-BDEF3D02612B}"/>
  </bookViews>
  <sheets>
    <sheet name="105" sheetId="8" r:id="rId1"/>
  </sheets>
  <definedNames>
    <definedName name="fxGetReports">_xlfn.LAMBDA(_xlpm.id_managera,_xlpm.tabela_danych, _xlfn.LET( _xlpm.podwladni_bezposredni, _xlfn._xlws.FILTER(_xlfn.CHOOSECOLS(_xlpm.tabela_danych, 1), _xlfn.CHOOSECOLS(_xlpm.tabela_danych, 2) = _xlpm.id_managera, ""), IF( AND(COUNT(_xlpm.podwladni_bezposredni) = 0, _xlpm.podwladni_bezposredni = ""), 0, ROWS(_xlpm.podwladni_bezposredni) + SUM(_xlfn.MAP(_xlpm.podwladni_bezposredni, _xlfn.LAMBDA(_xlpm.r, fxGetReports(_xlpm.r, _xlpm.tabela_danych)))) ) ) 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8" l="1" a="1"/>
  <c r="O3" i="8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<sst xmlns="http://schemas.openxmlformats.org/spreadsheetml/2006/main" count="55" uniqueCount="36">
  <si>
    <t>Problem</t>
  </si>
  <si>
    <t>Solution</t>
  </si>
  <si>
    <t>Staff ID</t>
  </si>
  <si>
    <t>Manager ID</t>
  </si>
  <si>
    <t>Name</t>
  </si>
  <si>
    <t>Position</t>
  </si>
  <si>
    <t>Manager</t>
  </si>
  <si>
    <t>Direct &amp; Indirect</t>
  </si>
  <si>
    <t>Total Reports</t>
  </si>
  <si>
    <t>Eddy</t>
  </si>
  <si>
    <t>Aiden</t>
  </si>
  <si>
    <t>2 direct : 5 Indirect</t>
  </si>
  <si>
    <t>John</t>
  </si>
  <si>
    <t>Support</t>
  </si>
  <si>
    <t>Andy</t>
  </si>
  <si>
    <t>1 direct : 6 Indirect</t>
  </si>
  <si>
    <t>Joan</t>
  </si>
  <si>
    <t>2 direct : 4 Indirect</t>
  </si>
  <si>
    <t>2 direct : 1 Indirect</t>
  </si>
  <si>
    <t>Craig</t>
  </si>
  <si>
    <t>Matt</t>
  </si>
  <si>
    <t>Easy Sunday Excel Challenge</t>
  </si>
  <si>
    <t>⭐Count the Direct &amp; Indirect  and Total Reports</t>
  </si>
  <si>
    <t>Ann</t>
  </si>
  <si>
    <t>⭐For Example: Eddy has 2 direct (68 &amp;72)</t>
  </si>
  <si>
    <t>Emma</t>
  </si>
  <si>
    <t xml:space="preserve">            and 1 Indirect (70 who reports to 68)</t>
  </si>
  <si>
    <t>Leah</t>
  </si>
  <si>
    <t>⭐Solution MUST be dynamic</t>
  </si>
  <si>
    <t>Jean</t>
  </si>
  <si>
    <t>Rose</t>
  </si>
  <si>
    <t>Buy the Book to Support The Challenges</t>
  </si>
  <si>
    <t>Lucky</t>
  </si>
  <si>
    <t>Scott</t>
  </si>
  <si>
    <t>Sarf</t>
  </si>
  <si>
    <t>Dave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</si>
</sst>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b/>
      <sz val="12"/>
      <color rgb="FF0070C0"/>
      <name val="Calibri"/>
      <family val="2"/>
    </font>
    <font>
      <sz val="12"/>
      <color rgb="FF0070C0"/>
      <name val="Calibri"/>
      <family val="2"/>
    </font>
    <font>
      <b/>
      <sz val="11"/>
      <color theme="6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5" xfId="0" applyBorder="1"/>
    <xf numFmtId="0" fontId="0" fillId="0" borderId="6" xfId="0" applyBorder="1"/>
    <xf numFmtId="0" fontId="7" fillId="0" borderId="0" xfId="0" quotePrefix="1" applyFont="1"/>
    <xf numFmtId="0" fontId="7" fillId="4" borderId="0" xfId="0" quotePrefix="1" applyFont="1" applyFill="1"/>
    <xf numFmtId="0" fontId="4" fillId="0" borderId="0" xfId="0" applyFont="1"/>
    <xf numFmtId="0" fontId="0" fillId="0" borderId="7" xfId="0" applyBorder="1"/>
    <xf numFmtId="0" fontId="0" fillId="2" borderId="3" xfId="0" applyFill="1" applyBorder="1"/>
    <xf numFmtId="0" fontId="0" fillId="2" borderId="1" xfId="0" applyFill="1" applyBorder="1"/>
    <xf numFmtId="0" fontId="0" fillId="0" borderId="1" xfId="0" applyBorder="1"/>
    <xf numFmtId="0" fontId="0" fillId="0" borderId="8" xfId="0" applyBorder="1"/>
    <xf numFmtId="0" fontId="0" fillId="2" borderId="4" xfId="0" applyFill="1" applyBorder="1"/>
    <xf numFmtId="0" fontId="0" fillId="0" borderId="9" xfId="0" applyBorder="1"/>
    <xf numFmtId="0" fontId="0" fillId="0" borderId="4" xfId="0" applyBorder="1"/>
    <xf numFmtId="0" fontId="0" fillId="0" borderId="2" xfId="0" applyBorder="1"/>
    <xf numFmtId="0" fontId="8" fillId="5" borderId="2" xfId="0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0" fillId="0" borderId="3" xfId="0" applyBorder="1"/>
    <xf numFmtId="0" fontId="4" fillId="2" borderId="3" xfId="0" applyFont="1" applyFill="1" applyBorder="1"/>
    <xf numFmtId="0" fontId="4" fillId="2" borderId="1" xfId="0" applyFont="1" applyFill="1" applyBorder="1"/>
    <xf numFmtId="0" fontId="0" fillId="3" borderId="3" xfId="0" applyFill="1" applyBorder="1"/>
    <xf numFmtId="0" fontId="0" fillId="3" borderId="1" xfId="0" applyFill="1" applyBorder="1"/>
    <xf numFmtId="0" fontId="5" fillId="2" borderId="5" xfId="0" applyFont="1" applyFill="1" applyBorder="1"/>
    <xf numFmtId="0" fontId="9" fillId="0" borderId="8" xfId="0" applyFont="1" applyBorder="1"/>
    <xf numFmtId="0" fontId="10" fillId="0" borderId="10" xfId="0" applyFont="1" applyBorder="1"/>
    <xf numFmtId="0" fontId="10" fillId="0" borderId="3" xfId="0" applyFont="1" applyBorder="1"/>
    <xf numFmtId="0" fontId="11" fillId="0" borderId="0" xfId="0" applyFont="1"/>
    <xf numFmtId="0" fontId="6" fillId="0" borderId="0" xfId="0" applyFont="1"/>
  </cellXfs>
  <cellStyles count="1">
    <cellStyle name="Normalny" xfId="0" builtinId="0"/>
  </cellStyles>
  <dxfs count="15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FF00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771389CD-0444-46FC-839C-22D0D26F0E6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476250</xdr:colOff>
      <xdr:row>0</xdr:row>
      <xdr:rowOff>83195</xdr:rowOff>
    </xdr:from>
    <xdr:ext cx="2124075" cy="2574279"/>
    <xdr:pic>
      <xdr:nvPicPr>
        <xdr:cNvPr id="2" name="Picture 1">
          <a:extLst>
            <a:ext uri="{FF2B5EF4-FFF2-40B4-BE49-F238E27FC236}">
              <a16:creationId xmlns:a16="http://schemas.microsoft.com/office/drawing/2014/main" id="{9528D413-745E-41BA-B1E1-E78F425C9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48350" y="83195"/>
          <a:ext cx="2124075" cy="2574279"/>
        </a:xfrm>
        <a:prstGeom prst="rect">
          <a:avLst/>
        </a:prstGeom>
      </xdr:spPr>
    </xdr:pic>
    <xdr:clientData/>
  </xdr:oneCellAnchor>
  <xdr:twoCellAnchor editAs="oneCell">
    <xdr:from>
      <xdr:col>5</xdr:col>
      <xdr:colOff>57150</xdr:colOff>
      <xdr:row>15</xdr:row>
      <xdr:rowOff>180975</xdr:rowOff>
    </xdr:from>
    <xdr:to>
      <xdr:col>11</xdr:col>
      <xdr:colOff>417785</xdr:colOff>
      <xdr:row>20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966962-6376-4387-9886-FA85EFA9E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90800" y="3133725"/>
          <a:ext cx="4418285" cy="7810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1C8ECA-12F1-4679-A3F7-5B160DADE5DB}" name="Table1" displayName="Table1" ref="B3:E19" totalsRowShown="0" headerRowDxfId="14" headerRowBorderDxfId="13" tableBorderDxfId="12" totalsRowBorderDxfId="11">
  <autoFilter ref="B3:E19" xr:uid="{D71C8ECA-12F1-4679-A3F7-5B160DADE5DB}">
    <filterColumn colId="0" hiddenButton="1"/>
    <filterColumn colId="1" hiddenButton="1"/>
    <filterColumn colId="2" hiddenButton="1"/>
    <filterColumn colId="3" hiddenButton="1"/>
  </autoFilter>
  <tableColumns count="4">
    <tableColumn id="1" xr3:uid="{33104708-6416-4429-B03C-597A652525A0}" name="Staff ID" dataDxfId="10"/>
    <tableColumn id="2" xr3:uid="{4F0F3689-41C9-48F6-BA5C-08F2AD823BB8}" name="Manager ID" dataDxfId="9"/>
    <tableColumn id="3" xr3:uid="{4B01E778-300D-420C-8598-EF976C65F3BE}" name="Name" dataDxfId="8"/>
    <tableColumn id="4" xr3:uid="{73D90324-444B-4B7C-9458-401ECC286FD8}" name="Position" dataDxfId="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5F051E-AFAB-4FAE-BF87-AE886DD28E7E}" name="Table3" displayName="Table3" ref="G3:I7" totalsRowShown="0" headerRowDxfId="6" headerRowBorderDxfId="5" tableBorderDxfId="4" totalsRowBorderDxfId="3">
  <autoFilter ref="G3:I7" xr:uid="{885F051E-AFAB-4FAE-BF87-AE886DD28E7E}">
    <filterColumn colId="0" hiddenButton="1"/>
    <filterColumn colId="1" hiddenButton="1"/>
    <filterColumn colId="2" hiddenButton="1"/>
  </autoFilter>
  <tableColumns count="3">
    <tableColumn id="1" xr3:uid="{25DDE36C-9547-4D63-BD3D-9D3DFEB1B89C}" name="Manager" dataDxfId="2"/>
    <tableColumn id="2" xr3:uid="{CBA64D5F-2861-4991-8D14-4E826AFF5A3F}" name="Direct &amp; Indirect" dataDxfId="1"/>
    <tableColumn id="3" xr3:uid="{B3E77FFA-735F-4521-97BA-7604277AC193}" name="Total Report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2EEE8-224D-4E43-8709-4B0CFF63CAFD}">
  <dimension ref="A2:Q106"/>
  <sheetViews>
    <sheetView showGridLines="0" tabSelected="1" workbookViewId="0">
      <selection activeCell="H7" sqref="H7"/>
    </sheetView>
  </sheetViews>
  <sheetFormatPr defaultRowHeight="15" x14ac:dyDescent="0.25"/>
  <cols>
    <col min="1" max="1" width="4.42578125" customWidth="1"/>
    <col min="2" max="2" width="7.42578125" bestFit="1" customWidth="1"/>
    <col min="3" max="3" width="11" bestFit="1" customWidth="1"/>
    <col min="4" max="4" width="6.42578125" bestFit="1" customWidth="1"/>
    <col min="5" max="5" width="8.7109375" bestFit="1" customWidth="1"/>
    <col min="6" max="6" width="3.42578125" customWidth="1"/>
    <col min="7" max="7" width="8.85546875" bestFit="1" customWidth="1"/>
    <col min="8" max="8" width="17.5703125" bestFit="1" customWidth="1"/>
    <col min="9" max="9" width="12.7109375" bestFit="1" customWidth="1"/>
    <col min="13" max="13" width="15.85546875" customWidth="1"/>
    <col min="14" max="14" width="13" customWidth="1"/>
    <col min="15" max="15" width="8.7109375" bestFit="1" customWidth="1"/>
    <col min="16" max="16" width="17" bestFit="1" customWidth="1"/>
    <col min="17" max="17" width="12.7109375" bestFit="1" customWidth="1"/>
  </cols>
  <sheetData>
    <row r="2" spans="2:17" x14ac:dyDescent="0.25">
      <c r="B2" s="30" t="s">
        <v>0</v>
      </c>
      <c r="G2" s="29" t="s">
        <v>1</v>
      </c>
    </row>
    <row r="3" spans="2:17" x14ac:dyDescent="0.25">
      <c r="B3" s="17" t="s">
        <v>2</v>
      </c>
      <c r="C3" s="18" t="s">
        <v>3</v>
      </c>
      <c r="D3" s="18" t="s">
        <v>4</v>
      </c>
      <c r="E3" s="19" t="s">
        <v>5</v>
      </c>
      <c r="G3" s="16" t="s">
        <v>6</v>
      </c>
      <c r="H3" s="4" t="s">
        <v>7</v>
      </c>
      <c r="I3" s="8" t="s">
        <v>8</v>
      </c>
      <c r="O3" t="str" cm="1">
        <f t="array" ref="O3:Q8">_xlfn.LET(
_xlpm._data_, Table1[],
_xlpm._mans_, _xlfn._xlws.FILTER(_xlpm._data_,_xlfn.CHOOSECOLS(_xlpm._data_,4)="Manager"),
_xlpm._mids_, _xlfn.UNIQUE(_xlfn.CHOOSECOLS(_xlpm._mans_,1)),
_xlpm._reportIds_, _xlfn.CHOOSECOLS(_xlpm._data_,2),
_xlpm._directCount_, _xlfn.MAP(_xlpm._mids_,_xlfn.LAMBDA(_xlpm.m,SUM(--(_xlpm._reportIds_=_xlpm.m)))),
_xlpm._totalCount_, _xlfn.MAP(_xlpm._mids_,_xlfn.LAMBDA(_xlpm.m, fxGetReports(_xlpm.m,_xlpm._data_))),
_xlpm._indirectCount_, _xlpm._totalCount_ - _xlpm._directCount_,
_xlpm._headers_, {"Manager","Direct &amp; Indirect","Total Reports"},
_xlpm._comb_, _xlfn.HSTACK(_xlfn.XLOOKUP(_xlpm._mids_, _xlfn.CHOOSECOLS(_xlpm._mans_, 1), _xlfn.CHOOSECOLS(_xlpm._mans_, 3),,0,1),_xlpm._directCount_ &amp; " direct :" &amp; _xlpm._indirectCount_ &amp; " Indirect", _xlpm._totalCount_),
_xlpm._sol_, _xlfn.VSTACK(_xlpm._headers_, _xlfn._xlws.SORT(_xlpm._comb_, 3,-1)),
_xlpm._sol_)</f>
        <v>Manager</v>
      </c>
      <c r="P3" t="str">
        <v>Direct &amp; Indirect</v>
      </c>
      <c r="Q3" t="str">
        <v>Total Reports</v>
      </c>
    </row>
    <row r="4" spans="2:17" x14ac:dyDescent="0.25">
      <c r="B4" s="21">
        <v>86</v>
      </c>
      <c r="C4" s="10">
        <v>67</v>
      </c>
      <c r="D4" s="11" t="s">
        <v>9</v>
      </c>
      <c r="E4" s="12" t="s">
        <v>6</v>
      </c>
      <c r="G4" s="20" t="s">
        <v>10</v>
      </c>
      <c r="H4" s="11" t="s">
        <v>11</v>
      </c>
      <c r="I4" s="12">
        <v>7</v>
      </c>
      <c r="O4" t="str">
        <v>Andy</v>
      </c>
      <c r="P4" t="str">
        <v>1 direct :6 Indirect</v>
      </c>
      <c r="Q4">
        <v>7</v>
      </c>
    </row>
    <row r="5" spans="2:17" x14ac:dyDescent="0.25">
      <c r="B5" s="9">
        <v>34</v>
      </c>
      <c r="C5" s="10">
        <v>67</v>
      </c>
      <c r="D5" s="11" t="s">
        <v>12</v>
      </c>
      <c r="E5" s="12" t="s">
        <v>13</v>
      </c>
      <c r="G5" s="20" t="s">
        <v>14</v>
      </c>
      <c r="H5" s="11" t="s">
        <v>15</v>
      </c>
      <c r="I5" s="12">
        <v>7</v>
      </c>
      <c r="O5" t="str">
        <v>Aiden</v>
      </c>
      <c r="P5" t="str">
        <v>2 direct :5 Indirect</v>
      </c>
      <c r="Q5">
        <v>7</v>
      </c>
    </row>
    <row r="6" spans="2:17" x14ac:dyDescent="0.25">
      <c r="B6" s="9">
        <v>15</v>
      </c>
      <c r="C6" s="10">
        <v>58</v>
      </c>
      <c r="D6" s="11" t="s">
        <v>16</v>
      </c>
      <c r="E6" s="12" t="s">
        <v>6</v>
      </c>
      <c r="G6" s="20" t="s">
        <v>16</v>
      </c>
      <c r="H6" s="11" t="s">
        <v>17</v>
      </c>
      <c r="I6" s="12">
        <v>6</v>
      </c>
      <c r="O6" t="str">
        <v>Joan</v>
      </c>
      <c r="P6" t="str">
        <v>2 direct :4 Indirect</v>
      </c>
      <c r="Q6">
        <v>6</v>
      </c>
    </row>
    <row r="7" spans="2:17" x14ac:dyDescent="0.25">
      <c r="B7" s="9">
        <v>58</v>
      </c>
      <c r="C7" s="10"/>
      <c r="D7" s="11" t="s">
        <v>14</v>
      </c>
      <c r="E7" s="12" t="s">
        <v>6</v>
      </c>
      <c r="G7" s="15" t="s">
        <v>9</v>
      </c>
      <c r="H7" s="3" t="s">
        <v>18</v>
      </c>
      <c r="I7" s="14">
        <v>3</v>
      </c>
      <c r="O7" t="str">
        <v>Eddy</v>
      </c>
      <c r="P7" t="str">
        <v>2 direct :1 Indirect</v>
      </c>
      <c r="Q7">
        <v>3</v>
      </c>
    </row>
    <row r="8" spans="2:17" x14ac:dyDescent="0.25">
      <c r="B8" s="9">
        <v>7</v>
      </c>
      <c r="C8" s="10">
        <v>15</v>
      </c>
      <c r="D8" s="11" t="s">
        <v>19</v>
      </c>
      <c r="E8" s="12" t="s">
        <v>13</v>
      </c>
      <c r="O8" t="str">
        <v>Ann</v>
      </c>
      <c r="P8" t="str">
        <v>1 direct :0 Indirect</v>
      </c>
      <c r="Q8">
        <v>1</v>
      </c>
    </row>
    <row r="9" spans="2:17" ht="18.75" x14ac:dyDescent="0.3">
      <c r="B9" s="9">
        <v>49</v>
      </c>
      <c r="C9" s="10">
        <v>15</v>
      </c>
      <c r="D9" s="11" t="s">
        <v>20</v>
      </c>
      <c r="E9" s="12" t="s">
        <v>13</v>
      </c>
      <c r="G9" s="1" t="s">
        <v>21</v>
      </c>
    </row>
    <row r="10" spans="2:17" ht="15.75" x14ac:dyDescent="0.25">
      <c r="B10" s="9">
        <v>67</v>
      </c>
      <c r="C10" s="10"/>
      <c r="D10" s="11" t="s">
        <v>10</v>
      </c>
      <c r="E10" s="12" t="s">
        <v>6</v>
      </c>
      <c r="G10" s="2" t="s">
        <v>22</v>
      </c>
    </row>
    <row r="11" spans="2:17" ht="15.75" x14ac:dyDescent="0.25">
      <c r="B11" s="23">
        <v>68</v>
      </c>
      <c r="C11" s="22">
        <v>86</v>
      </c>
      <c r="D11" s="11" t="s">
        <v>23</v>
      </c>
      <c r="E11" s="12" t="s">
        <v>6</v>
      </c>
      <c r="G11" s="2" t="s">
        <v>24</v>
      </c>
    </row>
    <row r="12" spans="2:17" ht="15.75" x14ac:dyDescent="0.25">
      <c r="B12" s="9">
        <v>69</v>
      </c>
      <c r="C12" s="10">
        <v>7</v>
      </c>
      <c r="D12" s="11" t="s">
        <v>25</v>
      </c>
      <c r="E12" s="12" t="s">
        <v>13</v>
      </c>
      <c r="G12" s="2" t="s">
        <v>26</v>
      </c>
    </row>
    <row r="13" spans="2:17" ht="15.75" x14ac:dyDescent="0.25">
      <c r="B13" s="9">
        <v>70</v>
      </c>
      <c r="C13" s="24">
        <v>68</v>
      </c>
      <c r="D13" s="11" t="s">
        <v>27</v>
      </c>
      <c r="E13" s="12" t="s">
        <v>13</v>
      </c>
      <c r="G13" s="2" t="s">
        <v>28</v>
      </c>
    </row>
    <row r="14" spans="2:17" x14ac:dyDescent="0.25">
      <c r="B14" s="9">
        <v>71</v>
      </c>
      <c r="C14" s="10">
        <v>69</v>
      </c>
      <c r="D14" s="11" t="s">
        <v>29</v>
      </c>
      <c r="E14" s="12" t="s">
        <v>13</v>
      </c>
    </row>
    <row r="15" spans="2:17" ht="15.75" x14ac:dyDescent="0.25">
      <c r="B15" s="9">
        <v>72</v>
      </c>
      <c r="C15" s="22">
        <v>86</v>
      </c>
      <c r="D15" s="11" t="s">
        <v>30</v>
      </c>
      <c r="E15" s="12" t="s">
        <v>13</v>
      </c>
      <c r="J15" s="26" t="s">
        <v>31</v>
      </c>
      <c r="K15" s="27"/>
      <c r="L15" s="27"/>
      <c r="M15" s="28"/>
    </row>
    <row r="16" spans="2:17" x14ac:dyDescent="0.25">
      <c r="B16" s="9">
        <v>73</v>
      </c>
      <c r="C16" s="10">
        <v>34</v>
      </c>
      <c r="D16" s="11" t="s">
        <v>32</v>
      </c>
      <c r="E16" s="12" t="s">
        <v>13</v>
      </c>
    </row>
    <row r="17" spans="2:5" x14ac:dyDescent="0.25">
      <c r="B17" s="9">
        <v>74</v>
      </c>
      <c r="C17" s="10">
        <v>71</v>
      </c>
      <c r="D17" s="11" t="s">
        <v>33</v>
      </c>
      <c r="E17" s="12" t="s">
        <v>13</v>
      </c>
    </row>
    <row r="18" spans="2:5" x14ac:dyDescent="0.25">
      <c r="B18" s="9">
        <v>75</v>
      </c>
      <c r="C18" s="10">
        <v>73</v>
      </c>
      <c r="D18" s="11" t="s">
        <v>34</v>
      </c>
      <c r="E18" s="12" t="s">
        <v>13</v>
      </c>
    </row>
    <row r="19" spans="2:5" x14ac:dyDescent="0.25">
      <c r="B19" s="13">
        <v>76</v>
      </c>
      <c r="C19" s="25">
        <v>74</v>
      </c>
      <c r="D19" s="3" t="s">
        <v>35</v>
      </c>
      <c r="E19" s="14" t="s">
        <v>13</v>
      </c>
    </row>
    <row r="61" spans="1:2" x14ac:dyDescent="0.25">
      <c r="B61" s="5"/>
    </row>
    <row r="62" spans="1:2" x14ac:dyDescent="0.25">
      <c r="A62" s="5"/>
    </row>
    <row r="63" spans="1:2" x14ac:dyDescent="0.25">
      <c r="A63" s="6"/>
      <c r="B63" s="6"/>
    </row>
    <row r="64" spans="1:2" x14ac:dyDescent="0.25">
      <c r="B64" s="5"/>
    </row>
    <row r="65" spans="2:2" x14ac:dyDescent="0.25">
      <c r="B65" s="5"/>
    </row>
    <row r="68" spans="2:2" x14ac:dyDescent="0.25">
      <c r="B68" s="5"/>
    </row>
    <row r="76" spans="2:2" x14ac:dyDescent="0.25">
      <c r="B76" s="5"/>
    </row>
    <row r="85" spans="1:2" x14ac:dyDescent="0.25">
      <c r="B85" s="5"/>
    </row>
    <row r="93" spans="1:2" x14ac:dyDescent="0.25">
      <c r="B93" s="5"/>
    </row>
    <row r="96" spans="1:2" x14ac:dyDescent="0.25">
      <c r="A96" s="7"/>
      <c r="B96" s="5"/>
    </row>
    <row r="97" spans="2:2" x14ac:dyDescent="0.25">
      <c r="B97" s="5"/>
    </row>
    <row r="106" spans="2:2" x14ac:dyDescent="0.25">
      <c r="B106" s="5"/>
    </row>
  </sheetData>
  <phoneticPr fontId="3" type="noConversion"/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105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>Maciej Kopczyński</cp:lastModifiedBy>
  <cp:revision/>
  <dcterms:created xsi:type="dcterms:W3CDTF">2025-07-18T04:43:21Z</dcterms:created>
  <dcterms:modified xsi:type="dcterms:W3CDTF">2026-03-01T13:16:32Z</dcterms:modified>
  <cp:category/>
  <cp:contentStatus/>
</cp:coreProperties>
</file>