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58" documentId="8_{C6C8BD1B-1C7B-4EEA-BAA1-99257195AEB8}" xr6:coauthVersionLast="47" xr6:coauthVersionMax="47" xr10:uidLastSave="{8F5EDBC3-B85C-4184-A366-863A704CB109}"/>
  <bookViews>
    <workbookView xWindow="-120" yWindow="-120" windowWidth="29040" windowHeight="15720" xr2:uid="{01C07523-956D-49DD-B8E7-BDEF3D02612B}"/>
  </bookViews>
  <sheets>
    <sheet name="109" sheetId="9" r:id="rId1"/>
  </sheets>
  <definedNames>
    <definedName name="ExternalData_1" localSheetId="0" hidden="1">'109'!$K$15:$K$19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9" l="1" a="1"/>
  <c r="M15" i="9" a="1"/>
  <c r="M15" i="9" s="1"/>
  <c r="M9" i="9" a="1"/>
  <c r="M9" i="9" s="1"/>
  <c r="K9" i="9" a="1"/>
  <c r="K9" i="9" s="1"/>
  <c r="K2" i="9" l="1"/>
  <c r="M2" i="9" a="1"/>
  <c r="M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2705CB-6D83-4EAE-A624-AA3FC8D57CD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re
df = xl(%P2%, headers = True)
def getMatches(txt):
    matches = re.findall(r"(PRD-[A-Z0-9]+)", txt)
    return " ; ".join(matches) if matches else ""
df["Order No."] = df["Order_Description"].apply(
    lambda x: getMatches(x))
df[["Order No."]]</code>
    </pythonScript>
  </pythonScripts>
</python>
</file>

<file path=xl/sharedStrings.xml><?xml version="1.0" encoding="utf-8"?>
<sst xmlns="http://schemas.openxmlformats.org/spreadsheetml/2006/main" count="21" uniqueCount="17">
  <si>
    <t>Problem</t>
  </si>
  <si>
    <t>Solution</t>
  </si>
  <si>
    <t>Order_Description</t>
  </si>
  <si>
    <t>Order No.</t>
  </si>
  <si>
    <t>Easy Sunday Excel Challenge</t>
  </si>
  <si>
    <t xml:space="preserve"> Order#AC-77891 [PRD-X9] urgent delivery </t>
  </si>
  <si>
    <t>PRD-X9</t>
  </si>
  <si>
    <t>⭐Combine the Mentors &amp; Staffs</t>
  </si>
  <si>
    <t xml:space="preserve"> Reorder PRD-Y19 + PRD-Z2 </t>
  </si>
  <si>
    <t>⭐Column E &amp; F are hidden and should be excluded in the sum</t>
  </si>
  <si>
    <t xml:space="preserve"> Trial order – PRD-T1 </t>
  </si>
  <si>
    <t>PRD-T1</t>
  </si>
  <si>
    <t>⭐Solution MUST be dynamic</t>
  </si>
  <si>
    <t xml:space="preserve"> Subscription renewal (Plan:PRO_2024) </t>
  </si>
  <si>
    <t>Buy the Book to Support The Challenges</t>
  </si>
  <si>
    <t>PRD-Y19 ; PRD-Z2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</si>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</sst>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4" fillId="2" borderId="2" xfId="0" applyFont="1" applyFill="1" applyBorder="1" applyAlignment="1">
      <alignment vertical="center"/>
    </xf>
    <xf numFmtId="0" fontId="3" fillId="4" borderId="0" xfId="0" applyFont="1" applyFill="1"/>
    <xf numFmtId="0" fontId="3" fillId="3" borderId="0" xfId="0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5" borderId="0" xfId="0" applyFont="1" applyFill="1"/>
    <xf numFmtId="0" fontId="0" fillId="0" borderId="3" xfId="0" applyBorder="1"/>
  </cellXfs>
  <cellStyles count="1">
    <cellStyle name="Normalny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40946E26-D261-4CB7-A389-6338EAA185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104775</xdr:rowOff>
    </xdr:from>
    <xdr:to>
      <xdr:col>4</xdr:col>
      <xdr:colOff>17735</xdr:colOff>
      <xdr:row>17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2A72-AD31-4137-8E41-BC04EFE4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4418285" cy="781050"/>
        </a:xfrm>
        <a:prstGeom prst="rect">
          <a:avLst/>
        </a:prstGeom>
      </xdr:spPr>
    </xdr:pic>
    <xdr:clientData/>
  </xdr:twoCellAnchor>
  <xdr:oneCellAnchor>
    <xdr:from>
      <xdr:col>5</xdr:col>
      <xdr:colOff>819150</xdr:colOff>
      <xdr:row>5</xdr:row>
      <xdr:rowOff>47625</xdr:rowOff>
    </xdr:from>
    <xdr:ext cx="1209675" cy="1466070"/>
    <xdr:pic>
      <xdr:nvPicPr>
        <xdr:cNvPr id="3" name="Picture 2">
          <a:extLst>
            <a:ext uri="{FF2B5EF4-FFF2-40B4-BE49-F238E27FC236}">
              <a16:creationId xmlns:a16="http://schemas.microsoft.com/office/drawing/2014/main" id="{EDBCB13D-A9E6-4449-8099-76B1A186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1775" y="1076325"/>
          <a:ext cx="1209675" cy="1466070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5540C2-4C6B-483E-9B9C-FBDCF01F553E}" autoFormatId="16" applyNumberFormats="0" applyBorderFormats="0" applyFontFormats="0" applyPatternFormats="0" applyAlignmentFormats="0" applyWidthHeightFormats="0">
  <queryTableRefresh nextId="2">
    <queryTableFields count="1">
      <queryTableField id="1" name="Order No.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EF772-1125-4292-8EDD-D85C24A623F4}" name="Table2" displayName="Table2" ref="D2:D6" totalsRowShown="0">
  <autoFilter ref="D2:D6" xr:uid="{955EF772-1125-4292-8EDD-D85C24A623F4}">
    <filterColumn colId="0" hiddenButton="1"/>
  </autoFilter>
  <tableColumns count="1">
    <tableColumn id="1" xr3:uid="{342917D5-3F4A-4505-A403-2CC717FF9543}" name="Order No.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56571-53F0-4101-9C8B-A9940FC05BE6}" name="tblStart" displayName="tblStart" ref="B2:B6" totalsRowShown="0" headerRowDxfId="2" tableBorderDxfId="1">
  <autoFilter ref="B2:B6" xr:uid="{F8656571-53F0-4101-9C8B-A9940FC05BE6}">
    <filterColumn colId="0" hiddenButton="1"/>
  </autoFilter>
  <tableColumns count="1">
    <tableColumn id="1" xr3:uid="{82A13B7F-7E68-4FE4-9CA4-854246D08BF7}" name="Order_Descriptio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E22EDA-EAE3-42F7-AAE2-31926848D58C}" name="tblSolution" displayName="tblSolution" ref="K15:K19" tableType="queryTable" totalsRowShown="0">
  <autoFilter ref="K15:K19" xr:uid="{C6E22EDA-EAE3-42F7-AAE2-31926848D58C}"/>
  <tableColumns count="1">
    <tableColumn id="1" xr3:uid="{3F3DD432-682D-4273-89EA-181A5D755272}" uniqueName="1" name="Order No.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584D-35E4-4E73-B640-03E5791EC621}">
  <dimension ref="B1:M19"/>
  <sheetViews>
    <sheetView showGridLines="0" tabSelected="1" topLeftCell="B1" workbookViewId="0">
      <selection activeCell="L8" sqref="L8"/>
    </sheetView>
  </sheetViews>
  <sheetFormatPr defaultRowHeight="15" x14ac:dyDescent="0.25"/>
  <cols>
    <col min="1" max="1" width="5.28515625" customWidth="1"/>
    <col min="2" max="2" width="39.42578125" bestFit="1" customWidth="1"/>
    <col min="3" max="3" width="4.7109375" customWidth="1"/>
    <col min="4" max="4" width="16.5703125" bestFit="1" customWidth="1"/>
    <col min="5" max="5" width="2.5703125" customWidth="1"/>
    <col min="6" max="6" width="53" customWidth="1"/>
    <col min="7" max="7" width="4.85546875" bestFit="1" customWidth="1"/>
    <col min="8" max="8" width="4" bestFit="1" customWidth="1"/>
    <col min="9" max="9" width="3.42578125" bestFit="1" customWidth="1"/>
    <col min="10" max="10" width="4.85546875" customWidth="1"/>
    <col min="11" max="11" width="16.140625" bestFit="1" customWidth="1"/>
    <col min="12" max="12" width="19.85546875" customWidth="1"/>
    <col min="13" max="13" width="41.42578125" bestFit="1" customWidth="1"/>
    <col min="17" max="17" width="41.42578125" bestFit="1" customWidth="1"/>
  </cols>
  <sheetData>
    <row r="1" spans="2:13" x14ac:dyDescent="0.25">
      <c r="B1" s="4" t="s">
        <v>0</v>
      </c>
      <c r="D1" s="3" t="s">
        <v>1</v>
      </c>
    </row>
    <row r="2" spans="2:13" ht="18.75" x14ac:dyDescent="0.3">
      <c r="B2" s="8" t="s">
        <v>2</v>
      </c>
      <c r="D2" t="s">
        <v>3</v>
      </c>
      <c r="F2" s="5" t="s">
        <v>4</v>
      </c>
      <c r="G2" s="6"/>
      <c r="K2" t="str" cm="1">
        <f t="array" ref="K2:K6">_xlfn.LET(
_xlpm._data_, tblStart[Order_Description],
_xlpm._map_, _xlfn.MAP(_xlpm._data_, _xlfn.LAMBDA(_xlpm.t, _xlfn.IFNA(_xlfn.TEXTJOIN(" ; ", 1, _xlfn.REGEXEXTRACT(_xlpm.t, "(PRD-[A-Z0-9]+)", 1)), ""))),
_xlpm._res_, _xlfn.VSTACK("Order No.", _xlpm._map_),
_xlpm._res_)</f>
        <v>Order No.</v>
      </c>
      <c r="M2" t="b" cm="1">
        <f t="array" ref="M2:M6">Table2[[#All],[Order No.]]=_xlfn.ANCHORARRAY(K2)</f>
        <v>1</v>
      </c>
    </row>
    <row r="3" spans="2:13" ht="15.75" x14ac:dyDescent="0.25">
      <c r="B3" s="1" t="s">
        <v>5</v>
      </c>
      <c r="D3" t="s">
        <v>6</v>
      </c>
      <c r="F3" s="7" t="s">
        <v>7</v>
      </c>
      <c r="G3" s="6"/>
      <c r="K3" t="str">
        <v>PRD-X9</v>
      </c>
      <c r="M3" t="b">
        <v>1</v>
      </c>
    </row>
    <row r="4" spans="2:13" ht="15.75" x14ac:dyDescent="0.25">
      <c r="B4" s="1" t="s">
        <v>8</v>
      </c>
      <c r="D4" t="s">
        <v>15</v>
      </c>
      <c r="F4" s="7" t="s">
        <v>9</v>
      </c>
      <c r="G4" s="6"/>
      <c r="K4" t="str">
        <v>PRD-Y19 ; PRD-Z2</v>
      </c>
      <c r="M4" t="b">
        <v>1</v>
      </c>
    </row>
    <row r="5" spans="2:13" ht="15.75" x14ac:dyDescent="0.25">
      <c r="B5" s="1" t="s">
        <v>10</v>
      </c>
      <c r="D5" t="s">
        <v>11</v>
      </c>
      <c r="F5" s="7" t="s">
        <v>12</v>
      </c>
      <c r="G5" s="6"/>
      <c r="K5" t="str">
        <v>PRD-T1</v>
      </c>
      <c r="M5" t="b">
        <v>1</v>
      </c>
    </row>
    <row r="6" spans="2:13" x14ac:dyDescent="0.25">
      <c r="B6" s="9" t="s">
        <v>13</v>
      </c>
      <c r="K6" t="str">
        <v/>
      </c>
      <c r="M6" t="b">
        <v>1</v>
      </c>
    </row>
    <row r="9" spans="2:13" x14ac:dyDescent="0.25">
      <c r="K9" t="str" cm="1">
        <f t="array" ref="K9:K13">_xlfn._xlws.PY(0,0,B2:B6)</f>
        <v>Order No.</v>
      </c>
      <c r="M9" t="b" cm="1">
        <f t="array" ref="M9:M13">_xlfn.ANCHORARRAY(K9)=Table2[[#All],[Order No.]]</f>
        <v>1</v>
      </c>
    </row>
    <row r="10" spans="2:13" x14ac:dyDescent="0.25">
      <c r="K10" t="str">
        <v>PRD-X9</v>
      </c>
      <c r="M10" t="b">
        <v>1</v>
      </c>
    </row>
    <row r="11" spans="2:13" x14ac:dyDescent="0.25">
      <c r="K11" t="str">
        <v>PRD-Y19 ; PRD-Z2</v>
      </c>
      <c r="M11" t="b">
        <v>1</v>
      </c>
    </row>
    <row r="12" spans="2:13" x14ac:dyDescent="0.25">
      <c r="K12" t="str">
        <v>PRD-T1</v>
      </c>
      <c r="M12" t="b">
        <v>1</v>
      </c>
    </row>
    <row r="13" spans="2:13" ht="15.75" thickBot="1" x14ac:dyDescent="0.3">
      <c r="K13" t="str">
        <v/>
      </c>
      <c r="M13" t="b">
        <v>1</v>
      </c>
    </row>
    <row r="14" spans="2:13" ht="16.5" thickBot="1" x14ac:dyDescent="0.3">
      <c r="F14" s="2" t="s">
        <v>14</v>
      </c>
    </row>
    <row r="15" spans="2:13" x14ac:dyDescent="0.25">
      <c r="K15" t="s">
        <v>3</v>
      </c>
      <c r="M15" t="b" cm="1">
        <f t="array" ref="M15:M19">tblSolution[[#All],[Order No.]]=Table2[[#All],[Order No.]]</f>
        <v>1</v>
      </c>
    </row>
    <row r="16" spans="2:13" x14ac:dyDescent="0.25">
      <c r="K16" t="s">
        <v>6</v>
      </c>
      <c r="M16" t="b">
        <v>1</v>
      </c>
    </row>
    <row r="17" spans="11:13" x14ac:dyDescent="0.25">
      <c r="K17" t="s">
        <v>15</v>
      </c>
      <c r="M17" t="b">
        <v>1</v>
      </c>
    </row>
    <row r="18" spans="11:13" x14ac:dyDescent="0.25">
      <c r="K18" t="s">
        <v>11</v>
      </c>
      <c r="M18" t="b">
        <v>1</v>
      </c>
    </row>
    <row r="19" spans="11:13" x14ac:dyDescent="0.25">
      <c r="K19" t="s">
        <v>16</v>
      </c>
      <c r="M19" t="b">
        <v>1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B316E8-A914-4166-AEB9-C0129D927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2026-03-29T10:53:09Z</dcterms:modified>
  <cp:category/>
  <cp:contentStatus/>
</cp:coreProperties>
</file>