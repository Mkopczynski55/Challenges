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50" documentId="8_{9AA781D9-676B-4648-8325-D069A23C1543}" xr6:coauthVersionLast="47" xr6:coauthVersionMax="47" xr10:uidLastSave="{A717951E-F056-4EAF-9DAE-70F91B826D9F}"/>
  <bookViews>
    <workbookView xWindow="-120" yWindow="-120" windowWidth="29040" windowHeight="15720" xr2:uid="{01C07523-956D-49DD-B8E7-BDEF3D02612B}"/>
  </bookViews>
  <sheets>
    <sheet name="Sheet1" sheetId="10" r:id="rId1"/>
  </sheets>
  <definedNames>
    <definedName name="ExternalData_1" localSheetId="0" hidden="1">Sheet1!$J$7:$K$10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0" l="1" a="1"/>
  <c r="M7" i="10" a="1"/>
  <c r="J2" i="10" a="1"/>
  <c r="J13" i="10" l="1"/>
  <c r="M13" i="10" a="1"/>
  <c r="M7" i="10"/>
  <c r="J2" i="10"/>
  <c r="M2" i="10" a="1"/>
  <c r="M13" i="10" l="1"/>
  <c r="M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783371B-7EF3-473C-AED5-3ECA7429BCF1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 = True)
def getMissing(c, d):
    f = d[d["Customer"] == c]
    l = sorted(list(f["Date"]))
    al = pd.date_range(start=l[0], end=l[-1], freq='D')    
    mi = [d for d in al if not d in l]
    return pd.DataFrame({"Customer": [c for _ in mi], "Missing Date": mi})
df = pd.concat([getMissing(x, df) for x in sorted(list(set(df["Customer"])))], ignore_index = True)
df
</code>
    </pythonScript>
  </pythonScripts>
</python>
</file>

<file path=xl/sharedStrings.xml><?xml version="1.0" encoding="utf-8"?>
<sst xmlns="http://schemas.openxmlformats.org/spreadsheetml/2006/main" count="24" uniqueCount="12">
  <si>
    <t>Problem</t>
  </si>
  <si>
    <t>Solution</t>
  </si>
  <si>
    <t>Customer</t>
  </si>
  <si>
    <t>Date</t>
  </si>
  <si>
    <t>Missing Date</t>
  </si>
  <si>
    <t>A</t>
  </si>
  <si>
    <t>B</t>
  </si>
  <si>
    <t>Easy Sunday Excel Challenge</t>
  </si>
  <si>
    <t>⭐Return all missing dates for each customer</t>
  </si>
  <si>
    <t>⭐First Occurrence = First Payment</t>
  </si>
  <si>
    <t>⭐Solution MUST be dynamic</t>
  </si>
  <si>
    <t>Buy the Book to Support The Challenges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</si>
</sst>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0000"/>
      <name val="Calibri"/>
      <family val="2"/>
    </font>
    <font>
      <b/>
      <sz val="11"/>
      <color rgb="FFFF0000"/>
      <name val="Calibri"/>
      <family val="2"/>
    </font>
    <font>
      <b/>
      <sz val="11"/>
      <color theme="6" tint="0.3999755851924192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16" fontId="0" fillId="0" borderId="4" xfId="0" applyNumberFormat="1" applyBorder="1"/>
    <xf numFmtId="16" fontId="0" fillId="0" borderId="6" xfId="0" applyNumberFormat="1" applyBorder="1"/>
    <xf numFmtId="0" fontId="0" fillId="3" borderId="1" xfId="0" applyFill="1" applyBorder="1"/>
    <xf numFmtId="0" fontId="0" fillId="3" borderId="2" xfId="0" applyFill="1" applyBorder="1"/>
    <xf numFmtId="0" fontId="4" fillId="0" borderId="0" xfId="0" applyFont="1"/>
    <xf numFmtId="0" fontId="5" fillId="0" borderId="0" xfId="0" applyFont="1"/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ny" xfId="0" builtinId="0"/>
  </cellStyles>
  <dxfs count="12">
    <dxf>
      <numFmt numFmtId="164" formatCode="d\-mm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d\-mmm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Invisible" pivot="0" table="0" count="0" xr9:uid="{1904CD3A-65F8-4B39-A250-AE1CDF2ABC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14</xdr:row>
      <xdr:rowOff>66675</xdr:rowOff>
    </xdr:from>
    <xdr:to>
      <xdr:col>7</xdr:col>
      <xdr:colOff>598760</xdr:colOff>
      <xdr:row>18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BB87F8-2275-4035-8950-5DEDF661E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647950"/>
          <a:ext cx="4418285" cy="781050"/>
        </a:xfrm>
        <a:prstGeom prst="rect">
          <a:avLst/>
        </a:prstGeom>
      </xdr:spPr>
    </xdr:pic>
    <xdr:clientData/>
  </xdr:twoCellAnchor>
  <xdr:oneCellAnchor>
    <xdr:from>
      <xdr:col>6</xdr:col>
      <xdr:colOff>85725</xdr:colOff>
      <xdr:row>6</xdr:row>
      <xdr:rowOff>167607</xdr:rowOff>
    </xdr:from>
    <xdr:ext cx="1188990" cy="1699293"/>
    <xdr:pic>
      <xdr:nvPicPr>
        <xdr:cNvPr id="3" name="Picture 2">
          <a:extLst>
            <a:ext uri="{FF2B5EF4-FFF2-40B4-BE49-F238E27FC236}">
              <a16:creationId xmlns:a16="http://schemas.microsoft.com/office/drawing/2014/main" id="{5E244BD3-E1A4-43C2-AA05-03CC2E0A8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2825" y="1310607"/>
          <a:ext cx="1188990" cy="1699293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BE5E614-352C-4219-A3A6-1B50F138FD96}" autoFormatId="16" applyNumberFormats="0" applyBorderFormats="0" applyFontFormats="0" applyPatternFormats="0" applyAlignmentFormats="0" applyWidthHeightFormats="0">
  <queryTableRefresh nextId="3">
    <queryTableFields count="2">
      <queryTableField id="1" name="Customer" tableColumnId="1"/>
      <queryTableField id="2" name="Missing Date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fb>46025</fb>
    <v>0</v>
  </rv>
  <rv s="0">
    <fb>46026</fb>
    <v>0</v>
  </rv>
  <rv s="0">
    <fb>46033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m/yyyy"/>
    </x:dxf>
  </dxfs>
  <richStyles>
    <rSty dxfid="0"/>
  </richStyles>
</richStyleSheet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AF8E4C-1668-405B-8388-03FB0FB59D2F}" name="tblStart" displayName="tblStart" ref="B2:C7" totalsRowShown="0" headerRowDxfId="11" headerRowBorderDxfId="10" tableBorderDxfId="9" totalsRowBorderDxfId="8">
  <autoFilter ref="B2:C7" xr:uid="{1DAF8E4C-1668-405B-8388-03FB0FB59D2F}">
    <filterColumn colId="0" hiddenButton="1"/>
    <filterColumn colId="1" hiddenButton="1"/>
  </autoFilter>
  <tableColumns count="2">
    <tableColumn id="1" xr3:uid="{C19CAEC9-9A6B-4932-9462-79DF223F208A}" name="Customer" dataDxfId="7"/>
    <tableColumn id="2" xr3:uid="{5B871283-9CD7-440D-AA61-0BFCE8B88FCB}" name="Date" dataDxfId="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7D61724-E7F2-4578-8B97-6D15DF3C1A58}" name="Table4" displayName="Table4" ref="E2:F5" totalsRowShown="0" headerRowDxfId="5" headerRowBorderDxfId="4" tableBorderDxfId="3" totalsRowBorderDxfId="2">
  <autoFilter ref="E2:F5" xr:uid="{77D61724-E7F2-4578-8B97-6D15DF3C1A58}">
    <filterColumn colId="0" hiddenButton="1"/>
    <filterColumn colId="1" hiddenButton="1"/>
  </autoFilter>
  <tableColumns count="2">
    <tableColumn id="1" xr3:uid="{BFFFCA13-505D-4E76-90FC-5865072471B2}" name="Customer" dataDxfId="1"/>
    <tableColumn id="2" xr3:uid="{A3BBA757-4038-4A8C-90ED-22FED7644D9D}" name="Missing Date" dataDxfId="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8B1CFB-E7A5-4157-80D1-0BD5AA54A2C8}" name="tblSolution" displayName="tblSolution" ref="J7:K10" tableType="queryTable" totalsRowShown="0">
  <autoFilter ref="J7:K10" xr:uid="{1C8B1CFB-E7A5-4157-80D1-0BD5AA54A2C8}"/>
  <tableColumns count="2">
    <tableColumn id="1" xr3:uid="{D38FB91E-9691-4CCA-827F-982935A7FE2A}" uniqueName="1" name="Customer" queryTableFieldId="1"/>
    <tableColumn id="2" xr3:uid="{0DC4A060-E86E-40B0-941B-983B89D536E6}" uniqueName="2" name="Missing Dat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FD62-C387-4CCE-BB5C-D944A2FBA4AA}">
  <dimension ref="B1:N16"/>
  <sheetViews>
    <sheetView showGridLines="0" tabSelected="1" workbookViewId="0">
      <selection activeCell="M6" sqref="M6"/>
    </sheetView>
  </sheetViews>
  <sheetFormatPr defaultRowHeight="15" x14ac:dyDescent="0.25"/>
  <cols>
    <col min="1" max="1" width="5.5703125" customWidth="1"/>
    <col min="2" max="2" width="9.5703125" bestFit="1" customWidth="1"/>
    <col min="4" max="4" width="5.7109375" customWidth="1"/>
    <col min="5" max="5" width="9.5703125" bestFit="1" customWidth="1"/>
    <col min="6" max="6" width="12.42578125" bestFit="1" customWidth="1"/>
    <col min="10" max="10" width="11.85546875" bestFit="1" customWidth="1"/>
    <col min="11" max="11" width="14.7109375" bestFit="1" customWidth="1"/>
    <col min="12" max="12" width="10.140625" bestFit="1" customWidth="1"/>
  </cols>
  <sheetData>
    <row r="1" spans="2:14" x14ac:dyDescent="0.25">
      <c r="B1" s="11" t="s">
        <v>0</v>
      </c>
      <c r="E1" s="12" t="s">
        <v>1</v>
      </c>
    </row>
    <row r="2" spans="2:14" x14ac:dyDescent="0.25">
      <c r="B2" s="3" t="s">
        <v>2</v>
      </c>
      <c r="C2" s="4" t="s">
        <v>3</v>
      </c>
      <c r="E2" s="9" t="s">
        <v>2</v>
      </c>
      <c r="F2" s="10" t="s">
        <v>4</v>
      </c>
      <c r="J2" t="str" cm="1">
        <f t="array" ref="J2:K5">_xlfn.LET(
_xlpm._data_, tblStart[],
_xlpm._customers_, _xlfn.UNIQUE(_xlfn.CHOOSECOLS(_xlpm._data_, 1)),
_xlpm._red_, _xlfn.REDUCE("", _xlpm._customers_, _xlfn.LAMBDA(_xlpm.s,_xlpm.c, _xlfn.LET( _xlpm.t, _xlfn._xlws.FILTER(_xlfn.CHOOSECOLS(_xlpm._data_, 2), _xlfn.CHOOSECOLS(_xlpm._data_, 1) = _xlpm.c), _xlpm.d, _xlfn.SEQUENCE(MAX(_xlpm.t) - MIN(_xlpm.t) + 1,1,MIN(_xlpm.t)), _xlfn.VSTACK(_xlpm.s, IF({1,0}, _xlpm.c, _xlfn._xlws.FILTER(_xlpm.d, _xlfn.MAP(_xlpm.d, _xlfn.LAMBDA(_xlpm.x, SUM(--(_xlpm.t=_xlpm.x))))=0)))))),
_xlpm._sol_, _xlfn.VSTACK({"Customer","Missing Date"}, _xlfn.DROP(_xlpm._red_, 1)),
_xlpm._sol_)</f>
        <v>Customer</v>
      </c>
      <c r="K2" t="str">
        <v>Missing Date</v>
      </c>
      <c r="M2" t="b" cm="1">
        <f t="array" ref="M2:N5">_xlfn.ANCHORARRAY(J2)=Table4[#All]</f>
        <v>1</v>
      </c>
      <c r="N2" t="b">
        <v>1</v>
      </c>
    </row>
    <row r="3" spans="2:14" x14ac:dyDescent="0.25">
      <c r="B3" s="5" t="s">
        <v>5</v>
      </c>
      <c r="C3" s="7">
        <v>46023</v>
      </c>
      <c r="E3" s="5" t="s">
        <v>5</v>
      </c>
      <c r="F3" s="7">
        <v>46025</v>
      </c>
      <c r="J3" t="str">
        <v>A</v>
      </c>
      <c r="K3">
        <v>46025</v>
      </c>
      <c r="M3" t="b">
        <v>1</v>
      </c>
      <c r="N3" t="b">
        <v>1</v>
      </c>
    </row>
    <row r="4" spans="2:14" x14ac:dyDescent="0.25">
      <c r="B4" s="5" t="s">
        <v>5</v>
      </c>
      <c r="C4" s="7">
        <v>46024</v>
      </c>
      <c r="E4" s="5" t="s">
        <v>5</v>
      </c>
      <c r="F4" s="7">
        <v>46026</v>
      </c>
      <c r="J4" t="str">
        <v>A</v>
      </c>
      <c r="K4">
        <v>46026</v>
      </c>
      <c r="L4" s="15"/>
      <c r="M4" t="b">
        <v>1</v>
      </c>
      <c r="N4" t="b">
        <v>1</v>
      </c>
    </row>
    <row r="5" spans="2:14" x14ac:dyDescent="0.25">
      <c r="B5" s="5" t="s">
        <v>5</v>
      </c>
      <c r="C5" s="7">
        <v>46027</v>
      </c>
      <c r="E5" s="6" t="s">
        <v>6</v>
      </c>
      <c r="F5" s="8">
        <v>46033</v>
      </c>
      <c r="J5" t="str">
        <v>B</v>
      </c>
      <c r="K5">
        <v>46033</v>
      </c>
      <c r="L5" s="15"/>
      <c r="M5" t="b">
        <v>1</v>
      </c>
      <c r="N5" t="b">
        <v>1</v>
      </c>
    </row>
    <row r="6" spans="2:14" x14ac:dyDescent="0.25">
      <c r="B6" s="5" t="s">
        <v>6</v>
      </c>
      <c r="C6" s="7">
        <v>46032</v>
      </c>
      <c r="L6" s="15"/>
    </row>
    <row r="7" spans="2:14" x14ac:dyDescent="0.25">
      <c r="B7" s="6" t="s">
        <v>6</v>
      </c>
      <c r="C7" s="8">
        <v>46034</v>
      </c>
      <c r="J7" t="s">
        <v>2</v>
      </c>
      <c r="K7" t="s">
        <v>4</v>
      </c>
      <c r="L7" s="15"/>
      <c r="M7" t="b" cm="1">
        <f t="array" ref="M7:N10">tblSolution[#All]=Table4[#All]</f>
        <v>1</v>
      </c>
      <c r="N7" t="b">
        <v>1</v>
      </c>
    </row>
    <row r="8" spans="2:14" x14ac:dyDescent="0.25">
      <c r="J8" t="s">
        <v>5</v>
      </c>
      <c r="K8">
        <v>46025</v>
      </c>
      <c r="L8" s="15"/>
      <c r="M8" t="b">
        <v>1</v>
      </c>
      <c r="N8" t="b">
        <v>1</v>
      </c>
    </row>
    <row r="9" spans="2:14" ht="18.75" x14ac:dyDescent="0.3">
      <c r="B9" s="1" t="s">
        <v>7</v>
      </c>
      <c r="J9" t="s">
        <v>5</v>
      </c>
      <c r="K9">
        <v>46026</v>
      </c>
      <c r="M9" t="b">
        <v>1</v>
      </c>
      <c r="N9" t="b">
        <v>1</v>
      </c>
    </row>
    <row r="10" spans="2:14" ht="15.75" x14ac:dyDescent="0.25">
      <c r="B10" s="2" t="s">
        <v>8</v>
      </c>
      <c r="J10" t="s">
        <v>6</v>
      </c>
      <c r="K10">
        <v>46033</v>
      </c>
      <c r="M10" t="b">
        <v>1</v>
      </c>
      <c r="N10" t="b">
        <v>1</v>
      </c>
    </row>
    <row r="11" spans="2:14" ht="15.75" x14ac:dyDescent="0.25">
      <c r="B11" s="2" t="s">
        <v>9</v>
      </c>
    </row>
    <row r="12" spans="2:14" ht="15.75" x14ac:dyDescent="0.25">
      <c r="B12" s="2" t="s">
        <v>10</v>
      </c>
    </row>
    <row r="13" spans="2:14" x14ac:dyDescent="0.25">
      <c r="J13" t="str" cm="1">
        <f t="array" ref="J13:K16">_xlfn._xlws.PY(0,0,B2:C7)</f>
        <v>Customer</v>
      </c>
      <c r="K13" t="str">
        <v>Missing Date</v>
      </c>
      <c r="M13" t="b" cm="1">
        <f t="array" ref="M13:N16">_xlfn.ANCHORARRAY(J13)=Table4[#All]</f>
        <v>1</v>
      </c>
      <c r="N13" t="b">
        <v>1</v>
      </c>
    </row>
    <row r="14" spans="2:14" ht="15.75" x14ac:dyDescent="0.25">
      <c r="B14" s="13" t="s">
        <v>11</v>
      </c>
      <c r="C14" s="14"/>
      <c r="D14" s="14"/>
      <c r="E14" s="14"/>
      <c r="F14" s="14"/>
      <c r="J14" t="str">
        <v>A</v>
      </c>
      <c r="K14" vm="1">
        <v>46025</v>
      </c>
      <c r="M14" t="b">
        <v>1</v>
      </c>
      <c r="N14" t="b">
        <v>1</v>
      </c>
    </row>
    <row r="15" spans="2:14" x14ac:dyDescent="0.25">
      <c r="J15" t="str">
        <v>A</v>
      </c>
      <c r="K15" vm="2">
        <v>46026</v>
      </c>
      <c r="M15" t="b">
        <v>1</v>
      </c>
      <c r="N15" t="b">
        <v>1</v>
      </c>
    </row>
    <row r="16" spans="2:14" x14ac:dyDescent="0.25">
      <c r="J16" t="str">
        <v>B</v>
      </c>
      <c r="K16" vm="3">
        <v>46033</v>
      </c>
      <c r="M16" t="b">
        <v>1</v>
      </c>
      <c r="N16" t="b">
        <v>1</v>
      </c>
    </row>
  </sheetData>
  <mergeCells count="1">
    <mergeCell ref="B14:F14"/>
  </mergeCell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AE7EF9-AAE7-4FD7-B4D2-4ACED3F692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>Maciej Kopczyński</cp:lastModifiedBy>
  <cp:revision/>
  <dcterms:created xsi:type="dcterms:W3CDTF">2025-07-18T04:43:21Z</dcterms:created>
  <dcterms:modified xsi:type="dcterms:W3CDTF">2026-04-19T11:18:16Z</dcterms:modified>
  <cp:category/>
  <cp:contentStatus/>
</cp:coreProperties>
</file>