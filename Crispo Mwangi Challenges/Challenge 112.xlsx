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63" documentId="8_{62DAA066-635C-490F-91C2-593200C57811}" xr6:coauthVersionLast="47" xr6:coauthVersionMax="47" xr10:uidLastSave="{52464EDC-AD5B-4969-BDE7-FCEA842B2428}"/>
  <bookViews>
    <workbookView xWindow="-120" yWindow="-120" windowWidth="29040" windowHeight="15720" xr2:uid="{01C07523-956D-49DD-B8E7-BDEF3D02612B}"/>
  </bookViews>
  <sheets>
    <sheet name="112" sheetId="9" r:id="rId1"/>
  </sheets>
  <definedNames>
    <definedName name="ExternalData_1" localSheetId="0" hidden="1">'112'!$G$8:$H$12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9" l="1" a="1"/>
  <c r="J14" i="9" a="1"/>
  <c r="J14" i="9" s="1"/>
  <c r="G14" i="9" a="1"/>
  <c r="G14" i="9" s="1"/>
  <c r="J8" i="9" a="1"/>
  <c r="J8" i="9" s="1"/>
  <c r="G2" i="9" l="1"/>
  <c r="J2" i="9" a="1"/>
  <c r="J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33A7FC-8C32-42D2-9921-EEB448CC012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 = True)
def checkString(x):
    l = list(x)
    c = [ord(a) &gt;= 65 and ord(a) &lt;=90 for a in l]
    s = set(c)
    return s == {True}
def getFirstName(x):
    s = x.split(" ")
    c = [a for a in s if a == a.upper() and checkString(a)]
    return " ".join(c)
def getOtherNames(x):
    s = x.split(" ")
    c = [a for a in s if a != a.upper() or not checkString(a)]
    return " ".join(c)
df["First Name"] = df["Name"].apply(
lambda x: getFirstName(x))
df["Other Names"] = df["Name"].apply(
lambda x: getOtherNames(x))
df = df.drop(columns = ["Name"])
df</code>
    </pythonScript>
  </pythonScripts>
</python>
</file>

<file path=xl/sharedStrings.xml><?xml version="1.0" encoding="utf-8"?>
<sst xmlns="http://schemas.openxmlformats.org/spreadsheetml/2006/main" count="32" uniqueCount="22">
  <si>
    <t>Problem</t>
  </si>
  <si>
    <t>Solution</t>
  </si>
  <si>
    <t>Name</t>
  </si>
  <si>
    <t>Other Names</t>
  </si>
  <si>
    <t>CRAIG David Beckam</t>
  </si>
  <si>
    <t>CRAIG</t>
  </si>
  <si>
    <t>David Beckam</t>
  </si>
  <si>
    <t>JAMES THOM Brian MC-Orio</t>
  </si>
  <si>
    <t>JAMES THOM</t>
  </si>
  <si>
    <t>Brian MC-Orio</t>
  </si>
  <si>
    <t>JOY K. Davis</t>
  </si>
  <si>
    <t>JOY</t>
  </si>
  <si>
    <t>K. Davis</t>
  </si>
  <si>
    <t>SABINA RICK CURRY Order</t>
  </si>
  <si>
    <t>SABINA RICK CURRY</t>
  </si>
  <si>
    <t>Order</t>
  </si>
  <si>
    <t>Easy Sunday Excel Challenge</t>
  </si>
  <si>
    <t>⭐Split First Name(s) and Others</t>
  </si>
  <si>
    <t>⭐First Name (s) is ALL Uppercase</t>
  </si>
  <si>
    <t>⭐Solution MUST be dynamic</t>
  </si>
  <si>
    <t>Buy the Book to Support The Challenges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</si>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</sst>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4" fillId="2" borderId="2" xfId="0" applyFont="1" applyFill="1" applyBorder="1" applyAlignment="1">
      <alignment vertical="center"/>
    </xf>
    <xf numFmtId="0" fontId="3" fillId="4" borderId="0" xfId="0" applyFont="1" applyFill="1"/>
    <xf numFmtId="0" fontId="3" fillId="3" borderId="0" xfId="0" applyFont="1" applyFill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5" borderId="0" xfId="0" applyFont="1" applyFill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</cellXfs>
  <cellStyles count="1">
    <cellStyle name="Normalny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BA94DEA1-6315-4468-B688-0FD073D4D9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13</xdr:row>
      <xdr:rowOff>66675</xdr:rowOff>
    </xdr:from>
    <xdr:to>
      <xdr:col>4</xdr:col>
      <xdr:colOff>55835</xdr:colOff>
      <xdr:row>17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2A72-AD31-4137-8E41-BC04EFE4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647950"/>
          <a:ext cx="4418285" cy="781050"/>
        </a:xfrm>
        <a:prstGeom prst="rect">
          <a:avLst/>
        </a:prstGeom>
      </xdr:spPr>
    </xdr:pic>
    <xdr:clientData/>
  </xdr:twoCellAnchor>
  <xdr:oneCellAnchor>
    <xdr:from>
      <xdr:col>2</xdr:col>
      <xdr:colOff>200025</xdr:colOff>
      <xdr:row>6</xdr:row>
      <xdr:rowOff>76200</xdr:rowOff>
    </xdr:from>
    <xdr:ext cx="1209675" cy="1466070"/>
    <xdr:pic>
      <xdr:nvPicPr>
        <xdr:cNvPr id="3" name="Picture 2">
          <a:extLst>
            <a:ext uri="{FF2B5EF4-FFF2-40B4-BE49-F238E27FC236}">
              <a16:creationId xmlns:a16="http://schemas.microsoft.com/office/drawing/2014/main" id="{EDBCB13D-A9E6-4449-8099-76B1A186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4700" y="1219200"/>
          <a:ext cx="1209675" cy="1466070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26C28B-E0E4-457A-BCF8-D1E0EC41C139}" autoFormatId="16" applyNumberFormats="0" applyBorderFormats="0" applyFontFormats="0" applyPatternFormats="0" applyAlignmentFormats="0" applyWidthHeightFormats="0">
  <queryTableRefresh nextId="3">
    <queryTableFields count="2">
      <queryTableField id="1" name="First Name" tableColumnId="1"/>
      <queryTableField id="2" name="Other Names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EF772-1125-4292-8EDD-D85C24A623F4}" name="Table2" displayName="Table2" ref="D2:E6" totalsRowShown="0" headerRowDxfId="1" headerRowBorderDxfId="8" tableBorderDxfId="7" totalsRowBorderDxfId="6">
  <autoFilter ref="D2:E6" xr:uid="{955EF772-1125-4292-8EDD-D85C24A623F4}">
    <filterColumn colId="0" hiddenButton="1"/>
    <filterColumn colId="1" hiddenButton="1"/>
  </autoFilter>
  <tableColumns count="2">
    <tableColumn id="1" xr3:uid="{342917D5-3F4A-4505-A403-2CC717FF9543}" name="First Name" dataDxfId="5"/>
    <tableColumn id="2" xr3:uid="{DC73999C-8A90-488F-B6EA-8DAFA9EEFFC8}" name="Other Names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56571-53F0-4101-9C8B-A9940FC05BE6}" name="tblStart" displayName="tblStart" ref="B2:B6" totalsRowShown="0" headerRowDxfId="0" tableBorderDxfId="3">
  <autoFilter ref="B2:B6" xr:uid="{F8656571-53F0-4101-9C8B-A9940FC05BE6}">
    <filterColumn colId="0" hiddenButton="1"/>
  </autoFilter>
  <tableColumns count="1">
    <tableColumn id="1" xr3:uid="{82A13B7F-7E68-4FE4-9CA4-854246D08BF7}" name="Name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5509A3-BB7A-4FF2-B1EC-A76EF6395D1F}" name="tblSolution" displayName="tblSolution" ref="G8:H12" tableType="queryTable" totalsRowShown="0">
  <autoFilter ref="G8:H12" xr:uid="{1D5509A3-BB7A-4FF2-B1EC-A76EF6395D1F}"/>
  <tableColumns count="2">
    <tableColumn id="1" xr3:uid="{598FDBD1-C2A8-4241-A610-639E12B2604A}" uniqueName="1" name="First Name" queryTableFieldId="1"/>
    <tableColumn id="2" xr3:uid="{655266D6-8E50-4E78-9B3B-8DF4A8E4D9D6}" uniqueName="2" name="Other Names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584D-35E4-4E73-B640-03E5791EC621}">
  <dimension ref="B1:K18"/>
  <sheetViews>
    <sheetView showGridLines="0" tabSelected="1" workbookViewId="0">
      <selection activeCell="G14" sqref="G14"/>
    </sheetView>
  </sheetViews>
  <sheetFormatPr defaultRowHeight="15" x14ac:dyDescent="0.25"/>
  <cols>
    <col min="1" max="1" width="3.28515625" customWidth="1"/>
    <col min="2" max="2" width="41.42578125" bestFit="1" customWidth="1"/>
    <col min="3" max="3" width="4.7109375" customWidth="1"/>
    <col min="4" max="4" width="19.28515625" customWidth="1"/>
    <col min="5" max="5" width="12.7109375" bestFit="1" customWidth="1"/>
    <col min="6" max="6" width="5.42578125" customWidth="1"/>
    <col min="7" max="7" width="18.5703125" bestFit="1" customWidth="1"/>
    <col min="8" max="8" width="15" bestFit="1" customWidth="1"/>
    <col min="9" max="9" width="4.85546875" customWidth="1"/>
    <col min="10" max="11" width="9" bestFit="1" customWidth="1"/>
    <col min="12" max="12" width="41.42578125" bestFit="1" customWidth="1"/>
    <col min="16" max="16" width="41.42578125" bestFit="1" customWidth="1"/>
  </cols>
  <sheetData>
    <row r="1" spans="2:11" x14ac:dyDescent="0.25">
      <c r="B1" s="4" t="s">
        <v>0</v>
      </c>
      <c r="D1" s="3" t="s">
        <v>1</v>
      </c>
    </row>
    <row r="2" spans="2:11" s="13" customFormat="1" x14ac:dyDescent="0.25">
      <c r="B2" s="12" t="s">
        <v>2</v>
      </c>
      <c r="D2" s="14" t="s">
        <v>21</v>
      </c>
      <c r="E2" s="15" t="s">
        <v>3</v>
      </c>
      <c r="G2" s="13" t="str" cm="1">
        <f t="array" ref="G2:H6">_xlfn.LET(
_xlpm._data_,tblStart[Name],
_xlpm._first_,_xlfn.MAP(_xlpm._data_,_xlfn.LAMBDA(_xlpm.d,_xlfn.LET(_xlpm.split,_xlfn.TEXTSPLIT(_xlpm.d,," "),_xlpm.check,(EXACT(_xlpm.split,UPPER(_xlpm.split)))*_xlfn.MAP(_xlpm.split,_xlfn.LAMBDA(_xlpm.s,SUM(--((CODE(MID(_xlpm.s,_xlfn.SEQUENCE(LEN(_xlpm.s)),1))&gt;=65)*(CODE(MID(_xlpm.s,_xlfn.SEQUENCE(LEN(_xlpm.s)),1))&lt;=90)))=LEN(_xlpm.s))),_xlpm.res,_xlfn._xlws.FILTER(_xlpm.split,_xlpm.check),_xlpm.comb,_xlfn.TEXTJOIN(" ",1,_xlpm.res),_xlpm.comb))),
_xlpm._other_,_xlfn.MAP(_xlpm._data_,_xlfn.LAMBDA(_xlpm.d,_xlfn.LET(_xlpm.split,_xlfn.TEXTSPLIT(_xlpm.d,," "),_xlpm.check,(EXACT(_xlpm.split,UPPER(_xlpm.split)))*_xlfn.MAP(_xlpm.split,_xlfn.LAMBDA(_xlpm.s,SUM(--((CODE(MID(_xlpm.s,_xlfn.SEQUENCE(LEN(_xlpm.s)),1))&gt;=65)*(CODE(MID(_xlpm.s,_xlfn.SEQUENCE(LEN(_xlpm.s)),1))&lt;=90)))=LEN(_xlpm.s))),_xlpm.res,_xlfn._xlws.FILTER(_xlpm.split,NOT(_xlpm.check)),_xlpm.comb,_xlfn.TEXTJOIN(" ",1,_xlpm.res),_xlpm.comb))),
_xlpm._sol_, _xlfn.VSTACK({"First Name","Other Names"}, _xlfn.HSTACK(_xlpm._first_, _xlpm._other_)),
_xlpm._sol_)</f>
        <v>First Name</v>
      </c>
      <c r="H2" s="13" t="str">
        <v>Other Names</v>
      </c>
      <c r="J2" s="13" t="b" cm="1">
        <f t="array" ref="J2:K6">Table2[#All]=_xlfn.ANCHORARRAY(G2)</f>
        <v>1</v>
      </c>
      <c r="K2" s="13" t="b">
        <v>1</v>
      </c>
    </row>
    <row r="3" spans="2:11" x14ac:dyDescent="0.25">
      <c r="B3" s="1" t="s">
        <v>4</v>
      </c>
      <c r="D3" s="8" t="s">
        <v>5</v>
      </c>
      <c r="E3" s="9" t="s">
        <v>6</v>
      </c>
      <c r="G3" t="str">
        <v>CRAIG</v>
      </c>
      <c r="H3" t="str">
        <v>David Beckam</v>
      </c>
      <c r="J3" t="b">
        <v>1</v>
      </c>
      <c r="K3" t="b">
        <v>1</v>
      </c>
    </row>
    <row r="4" spans="2:11" x14ac:dyDescent="0.25">
      <c r="B4" s="1" t="s">
        <v>7</v>
      </c>
      <c r="D4" s="8" t="s">
        <v>8</v>
      </c>
      <c r="E4" s="9" t="s">
        <v>9</v>
      </c>
      <c r="G4" t="str">
        <v>JAMES THOM</v>
      </c>
      <c r="H4" t="str">
        <v>Brian MC-Orio</v>
      </c>
      <c r="J4" t="b">
        <v>1</v>
      </c>
      <c r="K4" t="b">
        <v>1</v>
      </c>
    </row>
    <row r="5" spans="2:11" x14ac:dyDescent="0.25">
      <c r="B5" s="1" t="s">
        <v>10</v>
      </c>
      <c r="D5" s="8" t="s">
        <v>11</v>
      </c>
      <c r="E5" s="9" t="s">
        <v>12</v>
      </c>
      <c r="G5" t="str">
        <v>JOY</v>
      </c>
      <c r="H5" t="str">
        <v>K. Davis</v>
      </c>
      <c r="J5" t="b">
        <v>1</v>
      </c>
      <c r="K5" t="b">
        <v>1</v>
      </c>
    </row>
    <row r="6" spans="2:11" x14ac:dyDescent="0.25">
      <c r="B6" s="7" t="s">
        <v>13</v>
      </c>
      <c r="D6" s="10" t="s">
        <v>14</v>
      </c>
      <c r="E6" s="11" t="s">
        <v>15</v>
      </c>
      <c r="G6" t="str">
        <v>SABINA RICK CURRY</v>
      </c>
      <c r="H6" t="str">
        <v>Order</v>
      </c>
      <c r="J6" t="b">
        <v>1</v>
      </c>
      <c r="K6" t="b">
        <v>1</v>
      </c>
    </row>
    <row r="8" spans="2:11" ht="18.75" x14ac:dyDescent="0.3">
      <c r="B8" s="5" t="s">
        <v>16</v>
      </c>
      <c r="G8" t="s">
        <v>21</v>
      </c>
      <c r="H8" t="s">
        <v>3</v>
      </c>
      <c r="J8" t="b" cm="1">
        <f t="array" ref="J8:K12">tblSolution[#All]=Table2[#All]</f>
        <v>1</v>
      </c>
      <c r="K8" t="b">
        <v>1</v>
      </c>
    </row>
    <row r="9" spans="2:11" ht="15.75" x14ac:dyDescent="0.25">
      <c r="B9" s="6" t="s">
        <v>17</v>
      </c>
      <c r="G9" t="s">
        <v>5</v>
      </c>
      <c r="H9" t="s">
        <v>6</v>
      </c>
      <c r="J9" t="b">
        <v>1</v>
      </c>
      <c r="K9" t="b">
        <v>1</v>
      </c>
    </row>
    <row r="10" spans="2:11" ht="15.75" x14ac:dyDescent="0.25">
      <c r="B10" s="6" t="s">
        <v>18</v>
      </c>
      <c r="G10" t="s">
        <v>8</v>
      </c>
      <c r="H10" t="s">
        <v>9</v>
      </c>
      <c r="J10" t="b">
        <v>1</v>
      </c>
      <c r="K10" t="b">
        <v>1</v>
      </c>
    </row>
    <row r="11" spans="2:11" ht="15.75" x14ac:dyDescent="0.25">
      <c r="B11" s="6" t="s">
        <v>19</v>
      </c>
      <c r="G11" t="s">
        <v>11</v>
      </c>
      <c r="H11" t="s">
        <v>12</v>
      </c>
      <c r="J11" t="b">
        <v>1</v>
      </c>
      <c r="K11" t="b">
        <v>1</v>
      </c>
    </row>
    <row r="12" spans="2:11" ht="15.75" thickBot="1" x14ac:dyDescent="0.3">
      <c r="G12" t="s">
        <v>14</v>
      </c>
      <c r="H12" t="s">
        <v>15</v>
      </c>
      <c r="J12" t="b">
        <v>1</v>
      </c>
      <c r="K12" t="b">
        <v>1</v>
      </c>
    </row>
    <row r="13" spans="2:11" ht="16.5" thickBot="1" x14ac:dyDescent="0.3">
      <c r="B13" s="2" t="s">
        <v>20</v>
      </c>
    </row>
    <row r="14" spans="2:11" x14ac:dyDescent="0.25">
      <c r="G14" t="str" cm="1">
        <f t="array" ref="G14:H18">_xlfn._xlws.PY(0,0,B2:B6)</f>
        <v>First Name</v>
      </c>
      <c r="H14" t="str">
        <v>Other Names</v>
      </c>
      <c r="J14" t="b" cm="1">
        <f t="array" ref="J14:K18">_xlfn.ANCHORARRAY(G14)=Table2[#All]</f>
        <v>1</v>
      </c>
      <c r="K14" t="b">
        <v>1</v>
      </c>
    </row>
    <row r="15" spans="2:11" x14ac:dyDescent="0.25">
      <c r="G15" t="str">
        <v>CRAIG</v>
      </c>
      <c r="H15" t="str">
        <v>David Beckam</v>
      </c>
      <c r="J15" t="b">
        <v>1</v>
      </c>
      <c r="K15" t="b">
        <v>1</v>
      </c>
    </row>
    <row r="16" spans="2:11" x14ac:dyDescent="0.25">
      <c r="G16" t="str">
        <v>JAMES THOM</v>
      </c>
      <c r="H16" t="str">
        <v>Brian MC-Orio</v>
      </c>
      <c r="J16" t="b">
        <v>1</v>
      </c>
      <c r="K16" t="b">
        <v>1</v>
      </c>
    </row>
    <row r="17" spans="7:11" x14ac:dyDescent="0.25">
      <c r="G17" t="str">
        <v>JOY</v>
      </c>
      <c r="H17" t="str">
        <v>K. Davis</v>
      </c>
      <c r="J17" t="b">
        <v>1</v>
      </c>
      <c r="K17" t="b">
        <v>1</v>
      </c>
    </row>
    <row r="18" spans="7:11" x14ac:dyDescent="0.25">
      <c r="G18" t="str">
        <v>SABINA RICK CURRY</v>
      </c>
      <c r="H18" t="str">
        <v>Order</v>
      </c>
      <c r="J18" t="b">
        <v>1</v>
      </c>
      <c r="K18" t="b">
        <v>1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6918D9-F2FE-4AF1-A23E-8AA305DA49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2026-04-12T08:25:01Z</dcterms:modified>
  <cp:category/>
  <cp:contentStatus/>
</cp:coreProperties>
</file>