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Crispo Mwangi Challenges/"/>
    </mc:Choice>
  </mc:AlternateContent>
  <xr:revisionPtr revIDLastSave="60" documentId="8_{B17E8766-6AA5-4515-BA63-6EC096EEFCBF}" xr6:coauthVersionLast="47" xr6:coauthVersionMax="47" xr10:uidLastSave="{97F6D0E0-04C5-46EB-9D91-212154A1CF32}"/>
  <bookViews>
    <workbookView xWindow="-120" yWindow="-120" windowWidth="29040" windowHeight="15720" xr2:uid="{01C07523-956D-49DD-B8E7-BDEF3D02612B}"/>
  </bookViews>
  <sheets>
    <sheet name="120" sheetId="11" r:id="rId1"/>
  </sheets>
  <definedNames>
    <definedName name="ExternalData_1" localSheetId="0" hidden="1">'120'!$J$3:$L$8</definedName>
    <definedName name="ExternalData_2" localSheetId="0" hidden="1">'120'!$J$10:$L$14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52793C-CFCA-46CE-A18E-304EDCA5EDE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  <connection id="2" xr16:uid="{79091D00-989F-4286-A7A8-DC0FF5E8A2F4}" keepAlive="1" name="Zapytanie — tblSolution2" description="Połączenie z zapytaniem „tblSolution2” w skoroszycie." type="5" refreshedVersion="8" background="1" saveData="1">
    <dbPr connection="Provider=Microsoft.Mashup.OleDb.1;Data Source=$Workbook$;Location=tblSolution2;Extended Properties=&quot;&quot;" command="SELECT * FROM [tblSolution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<sst xmlns="http://schemas.openxmlformats.org/spreadsheetml/2006/main" count="54" uniqueCount="21">
  <si>
    <t>Problem</t>
  </si>
  <si>
    <t>Solution</t>
  </si>
  <si>
    <t>Employee</t>
  </si>
  <si>
    <t>Start Date</t>
  </si>
  <si>
    <t>End Date</t>
  </si>
  <si>
    <t>Overlaps</t>
  </si>
  <si>
    <t>Date(s)</t>
  </si>
  <si>
    <t>Aiden</t>
  </si>
  <si>
    <t>Aditya</t>
  </si>
  <si>
    <t>1/4/2026, 1/5/2026</t>
  </si>
  <si>
    <t>Bob</t>
  </si>
  <si>
    <t>Aiden, Bob</t>
  </si>
  <si>
    <t>1/4/2026, 1/5/2026, 1/12/2026</t>
  </si>
  <si>
    <t>Doris</t>
  </si>
  <si>
    <t>Easy Sunday Excel Challenge</t>
  </si>
  <si>
    <t>⭐Return Employees with Overlapping Leave Dates</t>
  </si>
  <si>
    <t>⭐For example Bob &amp; Aditya will be away on 1/12/2026</t>
  </si>
  <si>
    <t>⭐Solution MUST be dynamic</t>
  </si>
  <si>
    <t>4.01.2026, 5.01.2026</t>
  </si>
  <si>
    <t>12.01.2026</t>
  </si>
  <si>
    <t>4.01.2026, 5.01.2026, 12.01.2026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</si>
</sst>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;@"/>
  </numFmts>
  <fonts count="7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9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6" fillId="0" borderId="0" xfId="0" applyFont="1"/>
    <xf numFmtId="0" fontId="0" fillId="0" borderId="6" xfId="0" applyBorder="1"/>
    <xf numFmtId="16" fontId="0" fillId="0" borderId="7" xfId="0" applyNumberFormat="1" applyBorder="1" applyAlignment="1">
      <alignment vertical="center" wrapText="1"/>
    </xf>
    <xf numFmtId="16" fontId="0" fillId="0" borderId="4" xfId="0" applyNumberForma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164" fontId="0" fillId="0" borderId="4" xfId="0" applyNumberFormat="1" applyBorder="1"/>
    <xf numFmtId="14" fontId="0" fillId="0" borderId="4" xfId="0" applyNumberFormat="1" applyBorder="1"/>
  </cellXfs>
  <cellStyles count="1">
    <cellStyle name="Normalny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d\-mmm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\-mmm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DA0993B9-DC34-40ED-A108-AD3FE5B376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12</xdr:row>
      <xdr:rowOff>57150</xdr:rowOff>
    </xdr:from>
    <xdr:to>
      <xdr:col>7</xdr:col>
      <xdr:colOff>513035</xdr:colOff>
      <xdr:row>16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219D-545D-4E35-A538-5C263D7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305050"/>
          <a:ext cx="4418285" cy="7810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1381E7-D6D9-4EA2-B493-6C969EB287B1}" autoFormatId="16" applyNumberFormats="0" applyBorderFormats="0" applyFontFormats="0" applyPatternFormats="0" applyAlignmentFormats="0" applyWidthHeightFormats="0">
  <queryTableRefresh nextId="4">
    <queryTableFields count="3">
      <queryTableField id="1" name="Employee" tableColumnId="1"/>
      <queryTableField id="2" name="Overlaps" tableColumnId="2"/>
      <queryTableField id="3" name="Date(s)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F079B8-84E5-401B-B6FE-F8A1BCB51B07}" autoFormatId="16" applyNumberFormats="0" applyBorderFormats="0" applyFontFormats="0" applyPatternFormats="0" applyAlignmentFormats="0" applyWidthHeightFormats="0">
  <queryTableRefresh nextId="4">
    <queryTableFields count="3">
      <queryTableField id="1" name="Employee" tableColumnId="1"/>
      <queryTableField id="2" name="Overlaps" tableColumnId="2"/>
      <queryTableField id="3" name="Date(s)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2C0321-E6D2-4662-A435-23EFBB351D5D}" name="tblStart" displayName="tblStart" ref="B3:D7" totalsRowShown="0" headerRowDxfId="13" headerRowBorderDxfId="12" tableBorderDxfId="11" totalsRowBorderDxfId="10">
  <autoFilter ref="B3:D7" xr:uid="{BD2C0321-E6D2-4662-A435-23EFBB351D5D}">
    <filterColumn colId="0" hiddenButton="1"/>
    <filterColumn colId="1" hiddenButton="1"/>
    <filterColumn colId="2" hiddenButton="1"/>
  </autoFilter>
  <tableColumns count="3">
    <tableColumn id="1" xr3:uid="{0CBDA0D1-1CF4-418E-A528-3876F5D81409}" name="Employee" dataDxfId="9"/>
    <tableColumn id="2" xr3:uid="{3F64076D-AFA0-4A39-ABF0-32E4AD53DC08}" name="Start Date" dataDxfId="8"/>
    <tableColumn id="3" xr3:uid="{05E98894-8132-48E4-B4F9-332C5E41355A}" name="End Date" dataDxfId="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A7EA5E-6A75-44CB-9ECB-DB31DF2842E8}" name="Table4" displayName="Table4" ref="F3:H7" totalsRowShown="0" headerRowDxfId="6" headerRowBorderDxfId="5" tableBorderDxfId="4" totalsRowBorderDxfId="3">
  <autoFilter ref="F3:H7" xr:uid="{DBA7EA5E-6A75-44CB-9ECB-DB31DF2842E8}">
    <filterColumn colId="0" hiddenButton="1"/>
    <filterColumn colId="1" hiddenButton="1"/>
    <filterColumn colId="2" hiddenButton="1"/>
  </autoFilter>
  <tableColumns count="3">
    <tableColumn id="1" xr3:uid="{E92299F6-D61A-4822-88CE-E4445118D7C5}" name="Employee" dataDxfId="2"/>
    <tableColumn id="2" xr3:uid="{B2CF8C08-4C2A-4ADE-81BD-EE9AA8118B3F}" name="Overlaps" dataDxfId="1"/>
    <tableColumn id="3" xr3:uid="{C57D17F9-38A2-4D85-9D3A-6CB0D59CD630}" name="Date(s)" dataDxfId="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3C631-8C2A-47E5-8CD6-7AB1A8580D4F}" name="tblSolution" displayName="tblSolution" ref="J3:L8" tableType="queryTable" totalsRowShown="0">
  <autoFilter ref="J3:L8" xr:uid="{A0D3C631-8C2A-47E5-8CD6-7AB1A8580D4F}"/>
  <tableColumns count="3">
    <tableColumn id="1" xr3:uid="{B9755E11-6EA7-47F4-A19C-750FE6A35495}" uniqueName="1" name="Employee" queryTableFieldId="1"/>
    <tableColumn id="2" xr3:uid="{24B46E24-A635-428E-88AF-C39B8B5F7C6E}" uniqueName="2" name="Overlaps" queryTableFieldId="2"/>
    <tableColumn id="3" xr3:uid="{B6470184-8CE7-4C8F-83C3-4703872A3505}" uniqueName="3" name="Date(s)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45CE5E-AB57-4FED-A835-F22631E15B1A}" name="tblSolution2" displayName="tblSolution2" ref="J10:L14" tableType="queryTable" totalsRowShown="0">
  <autoFilter ref="J10:L14" xr:uid="{5645CE5E-AB57-4FED-A835-F22631E15B1A}"/>
  <tableColumns count="3">
    <tableColumn id="1" xr3:uid="{D7212A0A-9402-4148-8B99-43D3A59A3E7B}" uniqueName="1" name="Employee" queryTableFieldId="1"/>
    <tableColumn id="2" xr3:uid="{51B1E079-EC4C-448D-B11C-51D7B3784E62}" uniqueName="2" name="Overlaps" queryTableFieldId="2"/>
    <tableColumn id="3" xr3:uid="{F93A3B9F-F8EE-4B08-AD7B-DF1A6F1125B2}" uniqueName="3" name="Date(s)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831A-6AD1-450C-919A-D8EACC9867D0}">
  <dimension ref="B1:P14"/>
  <sheetViews>
    <sheetView showGridLines="0" tabSelected="1" workbookViewId="0">
      <selection activeCell="J13" sqref="J13"/>
    </sheetView>
  </sheetViews>
  <sheetFormatPr defaultRowHeight="15" x14ac:dyDescent="0.25"/>
  <cols>
    <col min="1" max="1" width="4.7109375" customWidth="1"/>
    <col min="2" max="2" width="9.85546875" bestFit="1" customWidth="1"/>
    <col min="3" max="3" width="9.7109375" bestFit="1" customWidth="1"/>
    <col min="4" max="4" width="8.85546875" bestFit="1" customWidth="1"/>
    <col min="5" max="5" width="6.5703125" customWidth="1"/>
    <col min="6" max="6" width="9.85546875" bestFit="1" customWidth="1"/>
    <col min="7" max="7" width="10.7109375" bestFit="1" customWidth="1"/>
    <col min="8" max="8" width="27.7109375" bestFit="1" customWidth="1"/>
    <col min="10" max="10" width="12.140625" bestFit="1" customWidth="1"/>
    <col min="11" max="11" width="11.140625" bestFit="1" customWidth="1"/>
    <col min="12" max="12" width="29.140625" bestFit="1" customWidth="1"/>
  </cols>
  <sheetData>
    <row r="1" spans="2:16" ht="6" customHeight="1" x14ac:dyDescent="0.25"/>
    <row r="2" spans="2:16" x14ac:dyDescent="0.25">
      <c r="B2" s="3" t="s">
        <v>0</v>
      </c>
      <c r="F2" s="11" t="s">
        <v>1</v>
      </c>
    </row>
    <row r="3" spans="2:16" x14ac:dyDescent="0.25">
      <c r="B3" s="15" t="s">
        <v>2</v>
      </c>
      <c r="C3" s="16" t="s">
        <v>3</v>
      </c>
      <c r="D3" s="17" t="s">
        <v>4</v>
      </c>
      <c r="F3" s="4" t="s">
        <v>2</v>
      </c>
      <c r="G3" s="5" t="s">
        <v>5</v>
      </c>
      <c r="H3" s="6" t="s">
        <v>6</v>
      </c>
      <c r="J3" t="s">
        <v>2</v>
      </c>
      <c r="K3" t="s">
        <v>5</v>
      </c>
      <c r="L3" t="s">
        <v>6</v>
      </c>
    </row>
    <row r="4" spans="2:16" x14ac:dyDescent="0.25">
      <c r="B4" s="7" t="s">
        <v>7</v>
      </c>
      <c r="C4" s="13">
        <v>46023</v>
      </c>
      <c r="D4" s="14">
        <v>46027</v>
      </c>
      <c r="F4" s="7" t="s">
        <v>7</v>
      </c>
      <c r="G4" s="8" t="s">
        <v>8</v>
      </c>
      <c r="H4" s="19" t="s">
        <v>9</v>
      </c>
      <c r="J4" t="s">
        <v>7</v>
      </c>
      <c r="K4" t="s">
        <v>8</v>
      </c>
      <c r="L4" t="s">
        <v>18</v>
      </c>
    </row>
    <row r="5" spans="2:16" x14ac:dyDescent="0.25">
      <c r="B5" s="7" t="s">
        <v>10</v>
      </c>
      <c r="C5" s="13">
        <v>46034</v>
      </c>
      <c r="D5" s="14">
        <v>46040</v>
      </c>
      <c r="F5" s="7" t="s">
        <v>10</v>
      </c>
      <c r="G5" s="8" t="s">
        <v>8</v>
      </c>
      <c r="H5" s="20">
        <v>46034</v>
      </c>
      <c r="J5" t="s">
        <v>10</v>
      </c>
      <c r="K5" t="s">
        <v>8</v>
      </c>
      <c r="L5" t="s">
        <v>19</v>
      </c>
    </row>
    <row r="6" spans="2:16" x14ac:dyDescent="0.25">
      <c r="B6" s="7" t="s">
        <v>8</v>
      </c>
      <c r="C6" s="13">
        <v>46026</v>
      </c>
      <c r="D6" s="14">
        <v>46034</v>
      </c>
      <c r="F6" s="7" t="s">
        <v>8</v>
      </c>
      <c r="G6" s="8" t="s">
        <v>11</v>
      </c>
      <c r="H6" s="18" t="s">
        <v>12</v>
      </c>
      <c r="J6" t="s">
        <v>8</v>
      </c>
      <c r="K6" t="s">
        <v>7</v>
      </c>
      <c r="L6" t="s">
        <v>18</v>
      </c>
    </row>
    <row r="7" spans="2:16" x14ac:dyDescent="0.25">
      <c r="B7" s="9" t="s">
        <v>13</v>
      </c>
      <c r="C7" s="13">
        <v>46043</v>
      </c>
      <c r="D7" s="14">
        <v>46050</v>
      </c>
      <c r="F7" s="9" t="s">
        <v>13</v>
      </c>
      <c r="G7" s="10"/>
      <c r="H7" s="12"/>
      <c r="J7" t="s">
        <v>8</v>
      </c>
      <c r="K7" t="s">
        <v>10</v>
      </c>
      <c r="L7" t="s">
        <v>19</v>
      </c>
    </row>
    <row r="8" spans="2:16" x14ac:dyDescent="0.25">
      <c r="J8" t="s">
        <v>13</v>
      </c>
    </row>
    <row r="9" spans="2:16" ht="18.75" x14ac:dyDescent="0.3">
      <c r="B9" s="1" t="s">
        <v>14</v>
      </c>
    </row>
    <row r="10" spans="2:16" ht="15.75" x14ac:dyDescent="0.25">
      <c r="B10" s="2" t="s">
        <v>15</v>
      </c>
      <c r="J10" t="s">
        <v>2</v>
      </c>
      <c r="K10" t="s">
        <v>5</v>
      </c>
      <c r="L10" t="s">
        <v>6</v>
      </c>
      <c r="N10" t="b" cm="1">
        <f t="array" ref="N10:P14">tblSolution2[#All]=Table4[#All]</f>
        <v>1</v>
      </c>
      <c r="O10" t="b">
        <v>1</v>
      </c>
      <c r="P10" t="b">
        <v>1</v>
      </c>
    </row>
    <row r="11" spans="2:16" ht="15.75" x14ac:dyDescent="0.25">
      <c r="B11" s="2" t="s">
        <v>16</v>
      </c>
      <c r="J11" t="s">
        <v>7</v>
      </c>
      <c r="K11" t="s">
        <v>8</v>
      </c>
      <c r="L11" t="s">
        <v>18</v>
      </c>
      <c r="N11" t="b">
        <v>1</v>
      </c>
      <c r="O11" t="b">
        <v>1</v>
      </c>
      <c r="P11" t="b">
        <v>0</v>
      </c>
    </row>
    <row r="12" spans="2:16" ht="15.75" x14ac:dyDescent="0.25">
      <c r="B12" s="2" t="s">
        <v>17</v>
      </c>
      <c r="J12" t="s">
        <v>10</v>
      </c>
      <c r="K12" t="s">
        <v>8</v>
      </c>
      <c r="L12" t="s">
        <v>19</v>
      </c>
      <c r="N12" t="b">
        <v>1</v>
      </c>
      <c r="O12" t="b">
        <v>1</v>
      </c>
      <c r="P12" t="b">
        <v>0</v>
      </c>
    </row>
    <row r="13" spans="2:16" x14ac:dyDescent="0.25">
      <c r="J13" t="s">
        <v>8</v>
      </c>
      <c r="K13" t="s">
        <v>11</v>
      </c>
      <c r="L13" t="s">
        <v>20</v>
      </c>
      <c r="N13" t="b">
        <v>1</v>
      </c>
      <c r="O13" t="b">
        <v>1</v>
      </c>
      <c r="P13" t="b">
        <v>0</v>
      </c>
    </row>
    <row r="14" spans="2:16" x14ac:dyDescent="0.25">
      <c r="J14" t="s">
        <v>13</v>
      </c>
      <c r="N14" t="b">
        <v>1</v>
      </c>
      <c r="O14" t="b">
        <v>1</v>
      </c>
      <c r="P14" t="b">
        <v>1</v>
      </c>
    </row>
  </sheetData>
  <phoneticPr fontId="5" type="noConversion"/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9DFE2B-DD0E-4435-BA29-CB18DB6D29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2026-05-10T09:16:38Z</dcterms:modified>
  <cp:category/>
  <cp:contentStatus/>
</cp:coreProperties>
</file>