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8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Ostatnie dwa tygodnie/Done/"/>
    </mc:Choice>
  </mc:AlternateContent>
  <xr:revisionPtr revIDLastSave="18" documentId="13_ncr:1_{3F49E766-E6C3-462A-8FE8-18C7C0F05740}" xr6:coauthVersionLast="47" xr6:coauthVersionMax="47" xr10:uidLastSave="{F6FD1805-7C9B-4CEB-9631-FAE44052C190}"/>
  <bookViews>
    <workbookView xWindow="16065" yWindow="0" windowWidth="12840" windowHeight="15585" xr2:uid="{00000000-000D-0000-FFFF-FFFF00000000}"/>
  </bookViews>
  <sheets>
    <sheet name="334" sheetId="1" r:id="rId1"/>
  </sheets>
  <definedNames>
    <definedName name="_xlnm._FilterDatabase" localSheetId="0" hidden="1">'334'!$B$2:$D$2</definedName>
    <definedName name="ExternalData_1" localSheetId="0" hidden="1">'334'!$J$2:$J$5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 a="1"/>
  <c r="N2" i="1" l="1" a="1"/>
  <c r="N2" i="1" s="1"/>
  <c r="L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1453EA-9E12-4063-B4DD-813253DEE4E6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<sst xmlns="http://schemas.openxmlformats.org/spreadsheetml/2006/main" count="31" uniqueCount="15">
  <si>
    <t>Question</t>
  </si>
  <si>
    <t>Result</t>
  </si>
  <si>
    <t>Date</t>
  </si>
  <si>
    <t>A</t>
  </si>
  <si>
    <t>B</t>
  </si>
  <si>
    <t>C</t>
  </si>
  <si>
    <t>Status</t>
  </si>
  <si>
    <t>D</t>
  </si>
  <si>
    <t>E</t>
  </si>
  <si>
    <t>F</t>
  </si>
  <si>
    <t>Open</t>
  </si>
  <si>
    <t>Close</t>
  </si>
  <si>
    <t>In Progress</t>
  </si>
  <si>
    <t>Hold</t>
  </si>
  <si>
    <t>Issue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</si>
</sst>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orbel"/>
      <family val="1"/>
      <scheme val="minor"/>
    </font>
    <font>
      <b/>
      <sz val="11"/>
      <color theme="0"/>
      <name val="Corbel"/>
      <family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left"/>
    </xf>
    <xf numFmtId="14" fontId="2" fillId="0" borderId="3" xfId="0" applyNumberFormat="1" applyFont="1" applyBorder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3" fontId="2" fillId="0" borderId="7" xfId="0" applyNumberFormat="1" applyFont="1" applyBorder="1" applyAlignment="1">
      <alignment horizontal="center"/>
    </xf>
    <xf numFmtId="3" fontId="2" fillId="0" borderId="8" xfId="0" applyNumberFormat="1" applyFont="1" applyBorder="1" applyAlignment="1">
      <alignment horizontal="center"/>
    </xf>
    <xf numFmtId="14" fontId="2" fillId="0" borderId="9" xfId="0" applyNumberFormat="1" applyFont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14" fontId="2" fillId="0" borderId="12" xfId="0" applyNumberFormat="1" applyFont="1" applyBorder="1" applyAlignment="1">
      <alignment horizontal="center"/>
    </xf>
    <xf numFmtId="14" fontId="2" fillId="0" borderId="13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</cellXfs>
  <cellStyles count="1">
    <cellStyle name="Normalny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AC1BE485-C45C-48E7-9B0E-A690A1E5040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33428</xdr:colOff>
      <xdr:row>8</xdr:row>
      <xdr:rowOff>135214</xdr:rowOff>
    </xdr:from>
    <xdr:to>
      <xdr:col>5</xdr:col>
      <xdr:colOff>12858</xdr:colOff>
      <xdr:row>12</xdr:row>
      <xdr:rowOff>49370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E363B2B0-C213-B3A8-7955-E5FE47C453CE}"/>
            </a:ext>
          </a:extLst>
        </xdr:cNvPr>
        <xdr:cNvSpPr/>
      </xdr:nvSpPr>
      <xdr:spPr>
        <a:xfrm>
          <a:off x="3411140" y="1754464"/>
          <a:ext cx="331122" cy="676156"/>
        </a:xfrm>
        <a:prstGeom prst="right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5</xdr:col>
      <xdr:colOff>13192</xdr:colOff>
      <xdr:row>6</xdr:row>
      <xdr:rowOff>175849</xdr:rowOff>
    </xdr:from>
    <xdr:to>
      <xdr:col>10</xdr:col>
      <xdr:colOff>468923</xdr:colOff>
      <xdr:row>15</xdr:row>
      <xdr:rowOff>131885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046538" y="1414099"/>
          <a:ext cx="3745520" cy="1670536"/>
        </a:xfrm>
        <a:prstGeom prst="round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334:  Last Status!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From the Question Table, extract the issue IDs whose latest status is not Closed.</a:t>
          </a:r>
          <a:endParaRPr lang="en-AU" sz="1600" b="0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1188350</xdr:colOff>
      <xdr:row>5</xdr:row>
      <xdr:rowOff>32439</xdr:rowOff>
    </xdr:from>
    <xdr:to>
      <xdr:col>8</xdr:col>
      <xdr:colOff>0</xdr:colOff>
      <xdr:row>6</xdr:row>
      <xdr:rowOff>175591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F4F2DC2C-2637-D127-8EDF-654771EE2657}"/>
            </a:ext>
          </a:extLst>
        </xdr:cNvPr>
        <xdr:cNvSpPr/>
      </xdr:nvSpPr>
      <xdr:spPr>
        <a:xfrm rot="16200000">
          <a:off x="4156289" y="918462"/>
          <a:ext cx="333652" cy="657105"/>
        </a:xfrm>
        <a:prstGeom prst="right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C6508F-953C-40EF-ACE9-584CAF6B3AF3}" autoFormatId="16" applyNumberFormats="0" applyBorderFormats="0" applyFontFormats="0" applyPatternFormats="0" applyAlignmentFormats="0" applyWidthHeightFormats="0">
  <queryTableRefresh nextId="2">
    <queryTableFields count="1">
      <queryTableField id="1" name="Issue ID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AD33F0-238D-4BDE-ABDF-53BBEC168A48}" name="tblStart" displayName="tblStart" ref="B2:D11" totalsRowShown="0" headerRowDxfId="9" headerRowBorderDxfId="8" tableBorderDxfId="7" totalsRowBorderDxfId="6">
  <autoFilter ref="B2:D11" xr:uid="{9CAD33F0-238D-4BDE-ABDF-53BBEC168A48}"/>
  <tableColumns count="3">
    <tableColumn id="1" xr3:uid="{4A19E8BB-2543-4ABB-B013-62B371C60D20}" name="Date" dataDxfId="5"/>
    <tableColumn id="2" xr3:uid="{30B031AA-EBE0-44CD-AE80-C37196D815AB}" name="Issue ID" dataDxfId="4"/>
    <tableColumn id="3" xr3:uid="{062F1A03-D295-436D-BEE9-1504BB9577E8}" name="Status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B25162-2D6D-42F2-A653-5B96756F2E41}" name="tblSolution" displayName="tblSolution" ref="J2:J5" tableType="queryTable" totalsRowShown="0" headerRowDxfId="2" dataDxfId="1">
  <autoFilter ref="J2:J5" xr:uid="{8BB25162-2D6D-42F2-A653-5B96756F2E41}"/>
  <tableColumns count="1">
    <tableColumn id="1" xr3:uid="{B54AF835-9D45-4D74-AD9C-32B765182BF1}" uniqueName="1" name="Issue ID" queryTableFieldId="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Basis">
  <a:themeElements>
    <a:clrScheme name="Basis">
      <a:dk1>
        <a:srgbClr val="000000"/>
      </a:dk1>
      <a:lt1>
        <a:srgbClr val="FFFFFF"/>
      </a:lt1>
      <a:dk2>
        <a:srgbClr val="565349"/>
      </a:dk2>
      <a:lt2>
        <a:srgbClr val="DDDDDD"/>
      </a:lt2>
      <a:accent1>
        <a:srgbClr val="A6B727"/>
      </a:accent1>
      <a:accent2>
        <a:srgbClr val="DF5327"/>
      </a:accent2>
      <a:accent3>
        <a:srgbClr val="FE9E00"/>
      </a:accent3>
      <a:accent4>
        <a:srgbClr val="418AB3"/>
      </a:accent4>
      <a:accent5>
        <a:srgbClr val="D7D447"/>
      </a:accent5>
      <a:accent6>
        <a:srgbClr val="818183"/>
      </a:accent6>
      <a:hlink>
        <a:srgbClr val="F59E00"/>
      </a:hlink>
      <a:folHlink>
        <a:srgbClr val="B2B2B2"/>
      </a:folHlink>
    </a:clrScheme>
    <a:fontScheme name="Basis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sis">
      <a:fillStyleLst>
        <a:solidFill>
          <a:schemeClr val="phClr"/>
        </a:solidFill>
        <a:solidFill>
          <a:schemeClr val="phClr">
            <a:tint val="55000"/>
            <a:satMod val="130000"/>
          </a:schemeClr>
        </a:solidFill>
        <a:gradFill rotWithShape="1">
          <a:gsLst>
            <a:gs pos="0">
              <a:schemeClr val="phClr"/>
            </a:gs>
            <a:gs pos="90000">
              <a:schemeClr val="phClr">
                <a:shade val="100000"/>
                <a:satMod val="105000"/>
              </a:schemeClr>
            </a:gs>
            <a:gs pos="100000">
              <a:schemeClr val="phClr">
                <a:shade val="80000"/>
                <a:satMod val="12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53975" cap="flat" cmpd="dbl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hemeClr val="phClr">
                <a:shade val="27000"/>
                <a:satMod val="12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95000"/>
            <a:satMod val="140000"/>
          </a:schemeClr>
        </a:solidFill>
        <a:solidFill>
          <a:schemeClr val="phClr">
            <a:tint val="90000"/>
            <a:shade val="85000"/>
            <a:satMod val="160000"/>
            <a:lumMod val="11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sis" id="{5665723A-49BA-4B57-8411-A56F8F207965}" vid="{90E45F77-AEFC-46EF-A7C1-5B338C297B02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zoomScale="130" zoomScaleNormal="130" workbookViewId="0">
      <selection activeCell="F5" sqref="F5"/>
    </sheetView>
  </sheetViews>
  <sheetFormatPr defaultRowHeight="15" x14ac:dyDescent="0.25"/>
  <cols>
    <col min="1" max="1" width="3.125" customWidth="1"/>
    <col min="2" max="4" width="10.625" style="4" customWidth="1"/>
    <col min="5" max="7" width="4.625" customWidth="1"/>
    <col min="8" max="8" width="15.875" style="5" bestFit="1" customWidth="1"/>
    <col min="10" max="10" width="10" bestFit="1" customWidth="1"/>
  </cols>
  <sheetData>
    <row r="1" spans="1:14" s="6" customFormat="1" ht="22.5" customHeight="1" x14ac:dyDescent="0.25">
      <c r="B1" s="21" t="s">
        <v>0</v>
      </c>
      <c r="C1" s="22"/>
      <c r="D1" s="23"/>
      <c r="F1"/>
      <c r="H1" s="12" t="s">
        <v>1</v>
      </c>
    </row>
    <row r="2" spans="1:14" s="2" customFormat="1" x14ac:dyDescent="0.25">
      <c r="B2" s="17" t="s">
        <v>2</v>
      </c>
      <c r="C2" s="18" t="s">
        <v>14</v>
      </c>
      <c r="D2" s="18" t="s">
        <v>6</v>
      </c>
      <c r="E2" s="3"/>
      <c r="F2"/>
      <c r="H2" s="13" t="s">
        <v>14</v>
      </c>
      <c r="J2" s="2" t="s">
        <v>14</v>
      </c>
      <c r="L2" s="2" t="str" cm="1">
        <f t="array" ref="L2:L5">_xlfn.LET(
_xlpm.data, tblStart[],
_xlpm.ids, _xlfn.CHOOSECOLS(_xlpm.data, 2),
_xlpm.unq, _xlfn.UNIQUE(_xlpm.ids),
_xlpm.mp, _xlfn.MAP(_xlpm.unq, _xlfn.LAMBDA(_xlpm.i, _xlfn.TAKE(_xlfn._xlws.SORT(_xlfn._xlws.FILTER(_xlpm.data, _xlpm.ids = _xlpm.i), 1, 1),-1,-1)&lt;&gt;"Close")),
_xlpm.res, _xlfn.VSTACK("Issue ID", _xlfn._xlws.SORT(_xlfn._xlws.FILTER(_xlpm.unq, _xlpm.mp))),
_xlpm.res)</f>
        <v>Issue ID</v>
      </c>
      <c r="N2" s="2" t="b" cm="1">
        <f t="array" ref="N2:N5">_xlfn.ANCHORARRAY(L2)=H2:H5</f>
        <v>1</v>
      </c>
    </row>
    <row r="3" spans="1:14" s="2" customFormat="1" x14ac:dyDescent="0.25">
      <c r="B3" s="16">
        <v>45292</v>
      </c>
      <c r="C3" s="11" t="s">
        <v>3</v>
      </c>
      <c r="D3" s="11" t="s">
        <v>10</v>
      </c>
      <c r="E3" s="7"/>
      <c r="F3"/>
      <c r="H3" s="14" t="s">
        <v>4</v>
      </c>
      <c r="I3" s="10"/>
      <c r="J3" t="s">
        <v>4</v>
      </c>
      <c r="K3" s="9"/>
      <c r="L3" s="9" t="str">
        <v>B</v>
      </c>
      <c r="M3" s="7"/>
      <c r="N3" s="2" t="b">
        <v>1</v>
      </c>
    </row>
    <row r="4" spans="1:14" s="2" customFormat="1" x14ac:dyDescent="0.25">
      <c r="B4" s="16">
        <v>45293</v>
      </c>
      <c r="C4" s="11" t="s">
        <v>5</v>
      </c>
      <c r="D4" s="11" t="s">
        <v>12</v>
      </c>
      <c r="E4" s="7"/>
      <c r="F4"/>
      <c r="H4" s="14" t="s">
        <v>5</v>
      </c>
      <c r="I4" s="10"/>
      <c r="J4" t="s">
        <v>5</v>
      </c>
      <c r="K4" s="9"/>
      <c r="L4" s="9" t="str">
        <v>C</v>
      </c>
      <c r="M4" s="7"/>
      <c r="N4" s="2" t="b">
        <v>1</v>
      </c>
    </row>
    <row r="5" spans="1:14" s="2" customFormat="1" x14ac:dyDescent="0.25">
      <c r="B5" s="16">
        <v>45294</v>
      </c>
      <c r="C5" s="11" t="s">
        <v>3</v>
      </c>
      <c r="D5" s="11" t="s">
        <v>11</v>
      </c>
      <c r="E5" s="7"/>
      <c r="F5"/>
      <c r="H5" s="15" t="s">
        <v>9</v>
      </c>
      <c r="I5" s="10"/>
      <c r="J5" t="s">
        <v>9</v>
      </c>
      <c r="K5" s="9"/>
      <c r="L5" s="9" t="str">
        <v>F</v>
      </c>
      <c r="M5" s="7"/>
      <c r="N5" s="2" t="b">
        <v>1</v>
      </c>
    </row>
    <row r="6" spans="1:14" s="2" customFormat="1" x14ac:dyDescent="0.25">
      <c r="B6" s="16">
        <v>45295</v>
      </c>
      <c r="C6" s="11" t="s">
        <v>4</v>
      </c>
      <c r="D6" s="11" t="s">
        <v>10</v>
      </c>
      <c r="E6" s="7"/>
      <c r="F6"/>
      <c r="H6"/>
      <c r="I6" s="10"/>
      <c r="J6" s="9"/>
      <c r="K6" s="9"/>
      <c r="L6" s="9"/>
      <c r="M6" s="7"/>
    </row>
    <row r="7" spans="1:14" s="2" customFormat="1" x14ac:dyDescent="0.25">
      <c r="B7" s="16">
        <v>45296</v>
      </c>
      <c r="C7" s="11" t="s">
        <v>4</v>
      </c>
      <c r="D7" s="11" t="s">
        <v>13</v>
      </c>
      <c r="E7" s="7"/>
      <c r="F7"/>
      <c r="H7"/>
      <c r="I7" s="7"/>
    </row>
    <row r="8" spans="1:14" s="2" customFormat="1" x14ac:dyDescent="0.25">
      <c r="B8" s="16">
        <v>45297</v>
      </c>
      <c r="C8" s="11" t="s">
        <v>5</v>
      </c>
      <c r="D8" s="11" t="s">
        <v>12</v>
      </c>
      <c r="E8" s="7"/>
      <c r="F8" s="7"/>
      <c r="G8"/>
      <c r="H8"/>
      <c r="I8"/>
      <c r="J8"/>
      <c r="K8"/>
      <c r="L8"/>
      <c r="M8"/>
    </row>
    <row r="9" spans="1:14" s="2" customFormat="1" x14ac:dyDescent="0.25">
      <c r="B9" s="16">
        <v>45298</v>
      </c>
      <c r="C9" s="11" t="s">
        <v>7</v>
      </c>
      <c r="D9" s="11" t="s">
        <v>11</v>
      </c>
      <c r="E9" s="7"/>
      <c r="F9" s="7"/>
      <c r="G9"/>
      <c r="H9" s="5"/>
      <c r="I9"/>
      <c r="J9"/>
      <c r="K9"/>
      <c r="L9"/>
      <c r="M9"/>
    </row>
    <row r="10" spans="1:14" s="2" customFormat="1" x14ac:dyDescent="0.25">
      <c r="B10" s="16">
        <v>45299</v>
      </c>
      <c r="C10" s="11" t="s">
        <v>8</v>
      </c>
      <c r="D10" s="11" t="s">
        <v>11</v>
      </c>
      <c r="E10" s="7"/>
      <c r="F10" s="7"/>
      <c r="G10"/>
      <c r="H10" s="5"/>
      <c r="I10"/>
      <c r="J10"/>
      <c r="K10"/>
      <c r="L10"/>
      <c r="M10"/>
    </row>
    <row r="11" spans="1:14" s="2" customFormat="1" x14ac:dyDescent="0.25">
      <c r="B11" s="19">
        <v>45300</v>
      </c>
      <c r="C11" s="20" t="s">
        <v>9</v>
      </c>
      <c r="D11" s="20" t="s">
        <v>12</v>
      </c>
      <c r="E11" s="7"/>
      <c r="F11" s="7"/>
      <c r="G11"/>
      <c r="H11" s="5"/>
      <c r="I11"/>
      <c r="J11"/>
      <c r="K11"/>
      <c r="L11"/>
      <c r="M11"/>
    </row>
    <row r="12" spans="1:14" s="2" customFormat="1" x14ac:dyDescent="0.25">
      <c r="B12" s="4"/>
      <c r="C12" s="4"/>
      <c r="D12" s="4"/>
      <c r="E12" s="7"/>
      <c r="F12" s="8"/>
      <c r="G12"/>
      <c r="H12" s="5"/>
      <c r="I12"/>
      <c r="J12"/>
      <c r="K12"/>
      <c r="L12"/>
      <c r="M12"/>
      <c r="N12"/>
    </row>
    <row r="13" spans="1:14" x14ac:dyDescent="0.25">
      <c r="E13" s="7"/>
      <c r="F13" s="8"/>
    </row>
    <row r="14" spans="1:14" x14ac:dyDescent="0.25">
      <c r="E14" s="7"/>
      <c r="F14" s="8"/>
    </row>
    <row r="15" spans="1:14" x14ac:dyDescent="0.25">
      <c r="A15" s="1"/>
      <c r="E15" s="7"/>
      <c r="F15" s="8"/>
    </row>
    <row r="16" spans="1:14" x14ac:dyDescent="0.25">
      <c r="A16" s="1"/>
      <c r="E16" s="7"/>
      <c r="F16" s="8"/>
    </row>
    <row r="17" spans="1:14" x14ac:dyDescent="0.25">
      <c r="A17" s="1"/>
      <c r="E17" s="7"/>
      <c r="F17" s="8"/>
    </row>
    <row r="18" spans="1:14" x14ac:dyDescent="0.25">
      <c r="A18" s="1"/>
      <c r="E18" s="7"/>
      <c r="F18" s="8"/>
    </row>
    <row r="19" spans="1:14" x14ac:dyDescent="0.25">
      <c r="A19" s="1"/>
      <c r="E19" s="7"/>
      <c r="F19" s="8"/>
    </row>
    <row r="20" spans="1:14" x14ac:dyDescent="0.25">
      <c r="A20" s="1"/>
      <c r="E20" s="7"/>
      <c r="F20" s="1"/>
    </row>
    <row r="21" spans="1:14" x14ac:dyDescent="0.25">
      <c r="A21" s="1"/>
      <c r="E21" s="7"/>
      <c r="F21" s="1"/>
    </row>
    <row r="22" spans="1:14" x14ac:dyDescent="0.25">
      <c r="A22" s="1"/>
      <c r="E22" s="7"/>
      <c r="F22" s="1"/>
      <c r="N22" s="2"/>
    </row>
    <row r="23" spans="1:14" x14ac:dyDescent="0.25">
      <c r="A23" s="1"/>
      <c r="E23" s="7"/>
      <c r="F23" s="1"/>
    </row>
    <row r="24" spans="1:14" x14ac:dyDescent="0.25">
      <c r="E24" s="7"/>
      <c r="F24" s="1"/>
    </row>
    <row r="25" spans="1:14" x14ac:dyDescent="0.25">
      <c r="E25" s="7"/>
      <c r="F25" s="1"/>
    </row>
    <row r="26" spans="1:14" x14ac:dyDescent="0.25">
      <c r="E26" s="7"/>
    </row>
  </sheetData>
  <sortState xmlns:xlrd2="http://schemas.microsoft.com/office/spreadsheetml/2017/richdata2" ref="B3:D11">
    <sortCondition ref="B7:B11"/>
  </sortState>
  <mergeCells count="1">
    <mergeCell ref="B1:D1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C22875-9C6C-4B6C-A203-A3F0BB68A9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2025-12-13T15:17:52Z</dcterms:modified>
</cp:coreProperties>
</file>