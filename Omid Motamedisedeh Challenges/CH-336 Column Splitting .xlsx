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84" documentId="13_ncr:1_{5E6ECEAC-B60B-48AE-8CD4-9A1F505DEC6D}" xr6:coauthVersionLast="47" xr6:coauthVersionMax="47" xr10:uidLastSave="{61AD3425-4EED-451B-94CC-76B562F88767}"/>
  <bookViews>
    <workbookView xWindow="-105" yWindow="0" windowWidth="23475" windowHeight="20985" xr2:uid="{00000000-000D-0000-FFFF-FFFF00000000}"/>
  </bookViews>
  <sheets>
    <sheet name="336" sheetId="1" r:id="rId1"/>
  </sheets>
  <definedNames>
    <definedName name="_xlnm._FilterDatabase" localSheetId="0" hidden="1">'336'!$B$2:$C$22</definedName>
    <definedName name="ExternalData_1" localSheetId="0" hidden="1">'336'!$P$2:$S$7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P9" i="1" a="1"/>
  <c r="P9" i="1" s="1"/>
  <c r="K9" i="1" l="1" a="1"/>
  <c r="K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6FE88A-9BD7-4851-B827-CDC580B85DE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<sst xmlns="http://schemas.openxmlformats.org/spreadsheetml/2006/main" count="38" uniqueCount="22">
  <si>
    <t>Question</t>
  </si>
  <si>
    <t>Result</t>
  </si>
  <si>
    <t>F</t>
  </si>
  <si>
    <t>ID</t>
  </si>
  <si>
    <t>XMS128</t>
  </si>
  <si>
    <t>F1M810</t>
  </si>
  <si>
    <t>MMKN</t>
  </si>
  <si>
    <t>12AA21</t>
  </si>
  <si>
    <t>F19</t>
  </si>
  <si>
    <t>XMS</t>
  </si>
  <si>
    <t>1</t>
  </si>
  <si>
    <t>M</t>
  </si>
  <si>
    <t>810</t>
  </si>
  <si>
    <t>AA</t>
  </si>
  <si>
    <t>21</t>
  </si>
  <si>
    <t>19</t>
  </si>
  <si>
    <t>ID 1</t>
  </si>
  <si>
    <t>ID 2</t>
  </si>
  <si>
    <t>ID 3</t>
  </si>
  <si>
    <t>ID 4</t>
  </si>
  <si>
    <t>128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</si>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</sst>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14" fontId="2" fillId="2" borderId="14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quotePrefix="1"/>
    <xf numFmtId="0" fontId="4" fillId="3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ny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A42A986F-007A-4360-82AB-CEA4F0AAA6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23445</xdr:rowOff>
    </xdr:from>
    <xdr:to>
      <xdr:col>4</xdr:col>
      <xdr:colOff>240323</xdr:colOff>
      <xdr:row>20</xdr:row>
      <xdr:rowOff>17585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0" y="1576753"/>
          <a:ext cx="2561492" cy="2174632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336: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wherever the character type transitions from numeric to text, or vice versa.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C823FF-04CA-4004-AD06-717E06796954}" autoFormatId="16" applyNumberFormats="0" applyBorderFormats="0" applyFontFormats="0" applyPatternFormats="0" applyAlignmentFormats="0" applyWidthHeightFormats="0">
  <queryTableRefresh nextId="9">
    <queryTableFields count="4">
      <queryTableField id="5" name="ID 1" tableColumnId="5"/>
      <queryTableField id="6" name="ID 2" tableColumnId="6"/>
      <queryTableField id="7" name="ID 3" tableColumnId="7"/>
      <queryTableField id="8" name="ID 4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2:B7" totalsRowShown="0" headerRowDxfId="17" dataDxfId="15" headerRowBorderDxfId="16" tableBorderDxfId="14" totalsRowBorderDxfId="13">
  <tableColumns count="1">
    <tableColumn id="1" xr3:uid="{5E176447-D8A8-44E6-956C-FD94787A1101}" name="I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F2:F7" totalsRowShown="0" headerRowDxfId="11" dataDxfId="9" headerRowBorderDxfId="10" tableBorderDxfId="8" totalsRowBorderDxfId="7">
  <tableColumns count="1">
    <tableColumn id="1" xr3:uid="{0DB64DBE-9FA9-4420-BD1F-1F601DBF7799}" name="ID 1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7FC9F-48D4-4ED9-AFA3-D4B33231EF0B}" name="tblSolution" displayName="tblSolution" ref="P2:S7" tableType="queryTable" totalsRowShown="0" headerRowDxfId="5" dataDxfId="4">
  <autoFilter ref="P2:S7" xr:uid="{2D17FC9F-48D4-4ED9-AFA3-D4B33231EF0B}"/>
  <tableColumns count="4">
    <tableColumn id="5" xr3:uid="{E2180632-E41C-483C-8293-05D68604C6AC}" uniqueName="5" name="ID 1" queryTableFieldId="5" dataDxfId="3"/>
    <tableColumn id="6" xr3:uid="{B4F4FE54-739D-4824-8FA6-5AB2DE10D94D}" uniqueName="6" name="ID 2" queryTableFieldId="6" dataDxfId="2"/>
    <tableColumn id="7" xr3:uid="{A6E70102-DFB5-4C77-8519-13FF0896BDDD}" uniqueName="7" name="ID 3" queryTableFieldId="7" dataDxfId="1"/>
    <tableColumn id="8" xr3:uid="{5D3EBE9A-2D18-406E-B892-840BC56B66DC}" uniqueName="8" name="ID 4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="130" zoomScaleNormal="130" workbookViewId="0">
      <selection activeCell="K9" sqref="K9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11" max="11" width="11.875" bestFit="1" customWidth="1"/>
    <col min="14" max="14" width="9.75" bestFit="1" customWidth="1"/>
    <col min="16" max="19" width="9.125" bestFit="1" customWidth="1"/>
    <col min="20" max="20" width="6.875" bestFit="1" customWidth="1"/>
    <col min="21" max="23" width="6.5" bestFit="1" customWidth="1"/>
  </cols>
  <sheetData>
    <row r="1" spans="1:19" s="6" customFormat="1" ht="22.5" customHeight="1" x14ac:dyDescent="0.3">
      <c r="B1" s="22" t="s">
        <v>0</v>
      </c>
      <c r="D1"/>
      <c r="F1" s="29" t="s">
        <v>1</v>
      </c>
      <c r="G1" s="30"/>
      <c r="H1" s="30"/>
      <c r="I1" s="30"/>
    </row>
    <row r="2" spans="1:19" s="2" customFormat="1" x14ac:dyDescent="0.3">
      <c r="B2" s="26" t="s">
        <v>3</v>
      </c>
      <c r="C2" s="3"/>
      <c r="D2"/>
      <c r="F2" s="23" t="s">
        <v>16</v>
      </c>
      <c r="G2" s="24" t="s">
        <v>17</v>
      </c>
      <c r="H2" s="24" t="s">
        <v>18</v>
      </c>
      <c r="I2" s="25" t="s">
        <v>19</v>
      </c>
      <c r="K2" s="27" t="str" cm="1">
        <f t="array" ref="K2:N7">_xlfn.LET(
_xlpm._data_, tblStart[ID],
_xlpm._nums_, _xlfn.SEQUENCE(10, 1, 48),
_xlpm._chars_, _xlfn.SEQUENCE(26, 1, 65),
_xlpm._map_, _xlfn.MAP(_xlpm._data_, _xlfn.LAMBDA(_xlpm.r, _xlfn.CONCAT(_xlfn.REDUCE("", MID(_xlpm.r, _xlfn.SEQUENCE(LEN(_xlpm.r)),1), _xlfn.LAMBDA(_xlpm.state,_xlpm.curr, _xlpm.state &amp; IF(OR(AND(NOT(ISNA(_xlfn.XMATCH(CODE(RIGHT(SUBSTITUTE(RIGHT(_xlpm.state, 2), "/", ""))), _xlpm._nums_,0,1))), ISNA(_xlfn.XMATCH(CODE(_xlpm.curr), _xlpm._nums_,0,1))), AND(NOT(ISNA(_xlfn.XMATCH(CODE(RIGHT(SUBSTITUTE(RIGHT(_xlpm.state, 2), "/", ""))), _xlpm._chars_,0,1))), ISNA(_xlfn.XMATCH(CODE(_xlpm.curr), _xlpm._chars_,0,1)))), "/" &amp; _xlpm.curr, _xlpm.curr)))))),
_xlpm._res_, _xlfn.TEXTJOIN(";", 1, _xlpm._map_),
_xlpm._adj_, _xlfn.IFNA(_xlfn.TEXTSPLIT(_xlpm._res_, "/", ";",1), ""),
_xlpm._headers_, "ID " &amp; _xlfn.SEQUENCE(1, COLUMNS(_xlpm._adj_)),
_xlpm._sol_, _xlfn.VSTACK(_xlpm._headers_, _xlpm._adj_),
_xlpm._sol_)</f>
        <v>ID 1</v>
      </c>
      <c r="L2" s="2" t="str">
        <v>ID 2</v>
      </c>
      <c r="M2" s="2" t="str">
        <v>ID 3</v>
      </c>
      <c r="N2" s="2" t="str">
        <v>ID 4</v>
      </c>
      <c r="P2" t="s">
        <v>16</v>
      </c>
      <c r="Q2" t="s">
        <v>17</v>
      </c>
      <c r="R2" t="s">
        <v>18</v>
      </c>
      <c r="S2" t="s">
        <v>19</v>
      </c>
    </row>
    <row r="3" spans="1:19" s="2" customFormat="1" x14ac:dyDescent="0.3">
      <c r="B3" s="9" t="s">
        <v>4</v>
      </c>
      <c r="C3" s="7"/>
      <c r="D3"/>
      <c r="F3" s="13" t="s">
        <v>9</v>
      </c>
      <c r="G3" s="17">
        <v>128</v>
      </c>
      <c r="H3" s="14"/>
      <c r="I3" s="15"/>
      <c r="J3" s="11"/>
      <c r="K3" s="7" t="str">
        <v>XMS</v>
      </c>
      <c r="L3" s="7" t="str">
        <v>128</v>
      </c>
      <c r="M3" s="7" t="str">
        <v/>
      </c>
      <c r="N3" s="2" t="str">
        <v/>
      </c>
      <c r="P3" t="s">
        <v>9</v>
      </c>
      <c r="Q3" t="s">
        <v>20</v>
      </c>
      <c r="R3"/>
      <c r="S3"/>
    </row>
    <row r="4" spans="1:19" s="2" customFormat="1" x14ac:dyDescent="0.3">
      <c r="B4" s="9" t="s">
        <v>5</v>
      </c>
      <c r="C4" s="7"/>
      <c r="D4"/>
      <c r="F4" s="13" t="s">
        <v>2</v>
      </c>
      <c r="G4" s="14" t="s">
        <v>10</v>
      </c>
      <c r="H4" s="14" t="s">
        <v>11</v>
      </c>
      <c r="I4" s="15" t="s">
        <v>12</v>
      </c>
      <c r="J4" s="11"/>
      <c r="K4" s="7" t="str">
        <v>F</v>
      </c>
      <c r="L4" s="7" t="str">
        <v>1</v>
      </c>
      <c r="M4" s="7" t="str">
        <v>M</v>
      </c>
      <c r="N4" s="2" t="str">
        <v>810</v>
      </c>
      <c r="P4" t="s">
        <v>2</v>
      </c>
      <c r="Q4" t="s">
        <v>10</v>
      </c>
      <c r="R4" t="s">
        <v>11</v>
      </c>
      <c r="S4" t="s">
        <v>12</v>
      </c>
    </row>
    <row r="5" spans="1:19" s="2" customFormat="1" x14ac:dyDescent="0.3">
      <c r="B5" s="9" t="s">
        <v>6</v>
      </c>
      <c r="C5" s="7"/>
      <c r="D5"/>
      <c r="F5" s="13" t="s">
        <v>6</v>
      </c>
      <c r="G5" s="14"/>
      <c r="H5" s="14"/>
      <c r="I5" s="15"/>
      <c r="J5" s="11"/>
      <c r="K5" s="7" t="str">
        <v>MMKN</v>
      </c>
      <c r="L5" s="7" t="str">
        <v/>
      </c>
      <c r="M5" s="7" t="str">
        <v/>
      </c>
      <c r="N5" s="2" t="str">
        <v/>
      </c>
      <c r="P5" t="s">
        <v>6</v>
      </c>
      <c r="Q5"/>
      <c r="R5"/>
      <c r="S5"/>
    </row>
    <row r="6" spans="1:19" s="2" customFormat="1" x14ac:dyDescent="0.3">
      <c r="B6" s="9" t="s">
        <v>7</v>
      </c>
      <c r="C6" s="7"/>
      <c r="D6"/>
      <c r="F6" s="16">
        <v>12</v>
      </c>
      <c r="G6" s="17" t="s">
        <v>13</v>
      </c>
      <c r="H6" s="17" t="s">
        <v>14</v>
      </c>
      <c r="I6" s="18"/>
      <c r="J6" s="11"/>
      <c r="K6" s="7" t="str">
        <v>12</v>
      </c>
      <c r="L6" s="7" t="str">
        <v>AA</v>
      </c>
      <c r="M6" s="7" t="str">
        <v>21</v>
      </c>
      <c r="N6" s="2" t="str">
        <v/>
      </c>
      <c r="P6" t="s">
        <v>21</v>
      </c>
      <c r="Q6" t="s">
        <v>13</v>
      </c>
      <c r="R6" t="s">
        <v>14</v>
      </c>
      <c r="S6"/>
    </row>
    <row r="7" spans="1:19" s="2" customFormat="1" x14ac:dyDescent="0.3">
      <c r="B7" s="10" t="s">
        <v>8</v>
      </c>
      <c r="C7" s="7"/>
      <c r="D7" s="7"/>
      <c r="E7"/>
      <c r="F7" s="19" t="s">
        <v>2</v>
      </c>
      <c r="G7" s="20" t="s">
        <v>15</v>
      </c>
      <c r="H7" s="20"/>
      <c r="I7" s="21"/>
      <c r="J7" s="12"/>
      <c r="K7" t="str">
        <v>F</v>
      </c>
      <c r="L7" t="str">
        <v>19</v>
      </c>
      <c r="M7" t="str">
        <v/>
      </c>
      <c r="N7" s="2" t="str">
        <v/>
      </c>
      <c r="P7" t="s">
        <v>2</v>
      </c>
      <c r="Q7" t="s">
        <v>15</v>
      </c>
      <c r="R7"/>
      <c r="S7"/>
    </row>
    <row r="8" spans="1:19" s="2" customFormat="1" x14ac:dyDescent="0.3">
      <c r="B8" s="4"/>
      <c r="C8" s="7"/>
      <c r="D8" s="8"/>
      <c r="E8"/>
      <c r="F8" s="5"/>
      <c r="G8"/>
      <c r="H8"/>
      <c r="I8"/>
      <c r="J8"/>
      <c r="K8"/>
      <c r="L8"/>
      <c r="M8"/>
      <c r="N8"/>
    </row>
    <row r="9" spans="1:19" x14ac:dyDescent="0.3">
      <c r="C9" s="7"/>
      <c r="D9" s="8"/>
      <c r="K9" t="b" cm="1">
        <f t="array" ref="K9:N14">_xlfn.ANCHORARRAY(K2) &amp; ""=F2:I7 &amp; ""</f>
        <v>1</v>
      </c>
      <c r="L9" t="b">
        <v>1</v>
      </c>
      <c r="M9" t="b">
        <v>1</v>
      </c>
      <c r="N9" t="b">
        <v>1</v>
      </c>
      <c r="P9" t="b" cm="1">
        <f t="array" ref="P9:S14">tblSolution[#All] &amp; "" = F2:I7 &amp; ""</f>
        <v>1</v>
      </c>
      <c r="Q9" t="b">
        <v>1</v>
      </c>
      <c r="R9" t="b">
        <v>1</v>
      </c>
      <c r="S9" t="b">
        <v>1</v>
      </c>
    </row>
    <row r="10" spans="1:19" x14ac:dyDescent="0.3">
      <c r="C10" s="7"/>
      <c r="D10" s="8"/>
      <c r="K10" s="28" t="b">
        <v>1</v>
      </c>
      <c r="L10" t="b">
        <v>1</v>
      </c>
      <c r="M10" t="b">
        <v>1</v>
      </c>
      <c r="N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3">
      <c r="A11" s="1"/>
      <c r="C11" s="7"/>
      <c r="D11" s="8"/>
      <c r="K11" t="b">
        <v>1</v>
      </c>
      <c r="L11" t="b">
        <v>1</v>
      </c>
      <c r="M11" t="b">
        <v>1</v>
      </c>
      <c r="N11" t="b">
        <v>1</v>
      </c>
      <c r="P11" t="b">
        <v>1</v>
      </c>
      <c r="Q11" t="b">
        <v>1</v>
      </c>
      <c r="R11" t="b">
        <v>1</v>
      </c>
      <c r="S11" t="b">
        <v>1</v>
      </c>
    </row>
    <row r="12" spans="1:19" x14ac:dyDescent="0.3">
      <c r="A12" s="1"/>
      <c r="C12" s="7"/>
      <c r="D12" s="8"/>
      <c r="K12" t="b">
        <v>1</v>
      </c>
      <c r="L12" t="b">
        <v>1</v>
      </c>
      <c r="M12" t="b">
        <v>1</v>
      </c>
      <c r="N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19" x14ac:dyDescent="0.3">
      <c r="A13" s="1"/>
      <c r="C13" s="7"/>
      <c r="D13" s="8"/>
      <c r="K13" t="b">
        <v>1</v>
      </c>
      <c r="L13" t="b">
        <v>1</v>
      </c>
      <c r="M13" t="b">
        <v>1</v>
      </c>
      <c r="N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19" x14ac:dyDescent="0.3">
      <c r="A14" s="1"/>
      <c r="C14" s="7"/>
      <c r="D14" s="8"/>
      <c r="K14" t="b">
        <v>1</v>
      </c>
      <c r="L14" t="b">
        <v>1</v>
      </c>
      <c r="M14" t="b">
        <v>1</v>
      </c>
      <c r="N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19" x14ac:dyDescent="0.3">
      <c r="A15" s="1"/>
      <c r="C15" s="7"/>
      <c r="D15" s="8"/>
    </row>
    <row r="16" spans="1:19" x14ac:dyDescent="0.3">
      <c r="A16" s="1"/>
      <c r="C16" s="7"/>
      <c r="D16" s="1"/>
    </row>
    <row r="17" spans="1:14" x14ac:dyDescent="0.3">
      <c r="A17" s="1"/>
      <c r="C17" s="7"/>
      <c r="D17" s="1"/>
    </row>
    <row r="18" spans="1:14" x14ac:dyDescent="0.3">
      <c r="A18" s="1"/>
      <c r="C18" s="7"/>
      <c r="D18" s="1"/>
      <c r="N18" s="2"/>
    </row>
    <row r="19" spans="1:14" x14ac:dyDescent="0.3">
      <c r="A19" s="1"/>
      <c r="C19" s="7"/>
      <c r="D19" s="1"/>
    </row>
    <row r="20" spans="1:14" x14ac:dyDescent="0.3">
      <c r="C20" s="7"/>
      <c r="D20" s="1"/>
    </row>
    <row r="21" spans="1:14" x14ac:dyDescent="0.3">
      <c r="C21" s="7"/>
      <c r="D21" s="1"/>
    </row>
    <row r="22" spans="1:14" x14ac:dyDescent="0.3">
      <c r="C22" s="7"/>
    </row>
  </sheetData>
  <sortState xmlns:xlrd2="http://schemas.microsoft.com/office/spreadsheetml/2017/richdata2" ref="B3:B7">
    <sortCondition ref="B7"/>
  </sortState>
  <mergeCells count="1">
    <mergeCell ref="F1:I1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B31D1-CE5B-493D-AE41-CAE28632A0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2026-01-03T13:15:25Z</dcterms:modified>
</cp:coreProperties>
</file>