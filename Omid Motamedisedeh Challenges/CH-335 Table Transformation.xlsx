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3" documentId="13_ncr:1_{E116213E-C1BE-4EF8-9104-B4599F902903}" xr6:coauthVersionLast="47" xr6:coauthVersionMax="47" xr10:uidLastSave="{CBF558E5-707E-4671-94FF-EB05C1EEB199}"/>
  <bookViews>
    <workbookView xWindow="14295" yWindow="0" windowWidth="14610" windowHeight="15585" xr2:uid="{00000000-000D-0000-FFFF-FFFF00000000}"/>
  </bookViews>
  <sheets>
    <sheet name="335" sheetId="1" r:id="rId1"/>
  </sheets>
  <definedNames>
    <definedName name="_xlnm._FilterDatabase" localSheetId="0" hidden="1">'335'!$B$2:$D$22</definedName>
    <definedName name="ExternalData_1" localSheetId="0" hidden="1">'335'!$J$2:$K$11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M2" i="1" a="1"/>
  <c r="M2" i="1" s="1"/>
  <c r="S2" i="1" l="1" a="1"/>
  <c r="S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060722-C7DD-41D1-855F-312D6FFB01F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<sst xmlns="http://schemas.openxmlformats.org/spreadsheetml/2006/main" count="54" uniqueCount="15">
  <si>
    <t>Question</t>
  </si>
  <si>
    <t>Result</t>
  </si>
  <si>
    <t>Issue ID</t>
  </si>
  <si>
    <t>X-01</t>
  </si>
  <si>
    <t>X-02</t>
  </si>
  <si>
    <t>X-03</t>
  </si>
  <si>
    <t>X-04</t>
  </si>
  <si>
    <t>X-05</t>
  </si>
  <si>
    <t>Level</t>
  </si>
  <si>
    <t>Level 1,2,3</t>
  </si>
  <si>
    <t>Level 1</t>
  </si>
  <si>
    <t>Level 1,3</t>
  </si>
  <si>
    <t>Level 2,3</t>
  </si>
  <si>
    <t>Level 3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</si>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</sst>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5" borderId="10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7AE7978-CF11-4ADE-BB0E-CB93AA72CA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23445</xdr:rowOff>
    </xdr:from>
    <xdr:to>
      <xdr:col>5</xdr:col>
      <xdr:colOff>310662</xdr:colOff>
      <xdr:row>18</xdr:row>
      <xdr:rowOff>23446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576753"/>
          <a:ext cx="2883877" cy="1817078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335:  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table by splitting the Level column and expanding it into multiple rows, as shown in the result table.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D0457A-CEE0-4657-B8F3-56966E34AB21}" autoFormatId="16" applyNumberFormats="0" applyBorderFormats="0" applyFontFormats="0" applyPatternFormats="0" applyAlignmentFormats="0" applyWidthHeightFormats="0">
  <queryTableRefresh nextId="3">
    <queryTableFields count="2">
      <queryTableField id="1" name="Issue ID" tableColumnId="1"/>
      <queryTableField id="2" name="Level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4C3B9-7D3C-4230-B4C1-B4D512D3644B}" name="tblStart" displayName="tblStart" ref="B2:C7" totalsRowShown="0" headerRowDxfId="6" headerRowBorderDxfId="5" tableBorderDxfId="4" totalsRowBorderDxfId="3">
  <autoFilter ref="B2:C7" xr:uid="{B454C3B9-7D3C-4230-B4C1-B4D512D3644B}"/>
  <tableColumns count="2">
    <tableColumn id="1" xr3:uid="{11E07E93-801B-4D67-B905-A436E5BC2308}" name="Issue ID" dataDxfId="2"/>
    <tableColumn id="2" xr3:uid="{BB066972-B64A-4F2F-A313-E45874BD7C32}" name="Level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965C6-DD0D-443A-B9DD-8EE1042D5229}" name="tblSolution" displayName="tblSolution" ref="J2:K11" tableType="queryTable" totalsRowShown="0" headerRowDxfId="0">
  <autoFilter ref="J2:K11" xr:uid="{9B0965C6-DD0D-443A-B9DD-8EE1042D5229}"/>
  <tableColumns count="2">
    <tableColumn id="1" xr3:uid="{317ADEF6-1E04-43CB-A575-7AE20D29D7C2}" uniqueName="1" name="Issue ID" queryTableFieldId="1"/>
    <tableColumn id="2" xr3:uid="{4E21B6FC-4461-49AC-B7CC-0655BF63A396}" uniqueName="2" name="Level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130" zoomScaleNormal="130" workbookViewId="0">
      <selection activeCell="C5" sqref="C5"/>
    </sheetView>
  </sheetViews>
  <sheetFormatPr defaultRowHeight="15" x14ac:dyDescent="0.25"/>
  <cols>
    <col min="1" max="1" width="3.125" customWidth="1"/>
    <col min="2" max="3" width="10.625" style="4" customWidth="1"/>
    <col min="4" max="4" width="4.625" customWidth="1"/>
    <col min="5" max="5" width="8.375" customWidth="1"/>
    <col min="6" max="6" width="4.625" customWidth="1"/>
    <col min="7" max="7" width="15.875" style="5" bestFit="1" customWidth="1"/>
    <col min="10" max="10" width="10" bestFit="1" customWidth="1"/>
    <col min="11" max="11" width="7.625" bestFit="1" customWidth="1"/>
    <col min="16" max="16" width="9.75" bestFit="1" customWidth="1"/>
  </cols>
  <sheetData>
    <row r="1" spans="1:20" s="7" customFormat="1" ht="22.5" customHeight="1" x14ac:dyDescent="0.25">
      <c r="B1" s="25" t="s">
        <v>0</v>
      </c>
      <c r="C1" s="26"/>
      <c r="E1"/>
      <c r="G1" s="25" t="s">
        <v>1</v>
      </c>
      <c r="H1" s="26"/>
    </row>
    <row r="2" spans="1:20" s="2" customFormat="1" x14ac:dyDescent="0.25">
      <c r="B2" s="20" t="s">
        <v>2</v>
      </c>
      <c r="C2" s="21" t="s">
        <v>8</v>
      </c>
      <c r="D2" s="3"/>
      <c r="E2"/>
      <c r="G2" s="6" t="s">
        <v>2</v>
      </c>
      <c r="H2" s="12" t="s">
        <v>8</v>
      </c>
      <c r="J2" s="2" t="s">
        <v>2</v>
      </c>
      <c r="K2" s="2" t="s">
        <v>8</v>
      </c>
      <c r="M2" s="2" t="b" cm="1">
        <f t="array" ref="M2:N11">G2:H11=tblSolution[#All]</f>
        <v>1</v>
      </c>
      <c r="N2" s="2" t="b">
        <v>1</v>
      </c>
      <c r="P2" s="2" t="str" cm="1">
        <f t="array" ref="P2:Q11">_xlfn.LET(
_xlpm._data_, tblStart[],
_xlpm._issueIDs, _xlfn.CHOOSECOLS(_xlpm._data_, 1),
_xlpm._levels_, _xlfn.CHOOSECOLS(_xlpm._data_, 2),
_xlpm._combined_, _xlpm._issueIDs &amp; "/" &amp; _xlpm._levels_,
_xlpm._red_, _xlfn.DROP(_xlfn.REDUCE("", _xlpm._combined_, _xlfn.LAMBDA(_xlpm.state,_xlpm.curr, _xlfn.VSTACK(_xlpm.state, _xlfn.TEXTBEFORE(_xlpm.curr, " ") &amp; " " &amp; _xlfn.TEXTSPLIT(_xlfn.TEXTAFTER(_xlpm.curr, " "),,",")))),1),
_xlpm._sol_, _xlfn.VSTACK({"Issue ID","Level"},_xlfn.HSTACK(_xlfn.TEXTBEFORE(_xlpm._red_, "/"), _xlfn.TEXTAFTER(_xlpm._red_, "/"))),
_xlpm._sol_)</f>
        <v>Issue ID</v>
      </c>
      <c r="Q2" s="2" t="str">
        <v>Level</v>
      </c>
      <c r="S2" s="2" t="b" cm="1">
        <f t="array" ref="S2:T11">_xlfn.ANCHORARRAY(P2)=G2:H11</f>
        <v>1</v>
      </c>
      <c r="T2" s="2" t="b">
        <v>1</v>
      </c>
    </row>
    <row r="3" spans="1:20" s="2" customFormat="1" x14ac:dyDescent="0.25">
      <c r="B3" s="18" t="s">
        <v>3</v>
      </c>
      <c r="C3" s="19" t="s">
        <v>11</v>
      </c>
      <c r="D3" s="8"/>
      <c r="E3"/>
      <c r="G3" s="16" t="s">
        <v>3</v>
      </c>
      <c r="H3" s="17" t="s">
        <v>10</v>
      </c>
      <c r="I3" s="10"/>
      <c r="J3" t="s">
        <v>3</v>
      </c>
      <c r="K3" t="s">
        <v>10</v>
      </c>
      <c r="L3" s="8"/>
      <c r="M3" s="2" t="b">
        <v>1</v>
      </c>
      <c r="N3" s="2" t="b">
        <v>1</v>
      </c>
      <c r="P3" s="2" t="str">
        <v>X-01</v>
      </c>
      <c r="Q3" s="2" t="str">
        <v>Level 1</v>
      </c>
      <c r="S3" s="2" t="b">
        <v>1</v>
      </c>
      <c r="T3" s="2" t="b">
        <v>1</v>
      </c>
    </row>
    <row r="4" spans="1:20" s="2" customFormat="1" x14ac:dyDescent="0.25">
      <c r="B4" s="22" t="s">
        <v>4</v>
      </c>
      <c r="C4" s="24" t="s">
        <v>10</v>
      </c>
      <c r="D4" s="8"/>
      <c r="E4"/>
      <c r="G4" s="16" t="s">
        <v>3</v>
      </c>
      <c r="H4" s="17" t="s">
        <v>13</v>
      </c>
      <c r="I4" s="10"/>
      <c r="J4" t="s">
        <v>3</v>
      </c>
      <c r="K4" t="s">
        <v>13</v>
      </c>
      <c r="L4" s="8"/>
      <c r="M4" s="2" t="b">
        <v>1</v>
      </c>
      <c r="N4" s="2" t="b">
        <v>1</v>
      </c>
      <c r="P4" s="2" t="str">
        <v>X-01</v>
      </c>
      <c r="Q4" s="2" t="str">
        <v>Level 3</v>
      </c>
      <c r="S4" s="2" t="b">
        <v>1</v>
      </c>
      <c r="T4" s="2" t="b">
        <v>1</v>
      </c>
    </row>
    <row r="5" spans="1:20" s="2" customFormat="1" x14ac:dyDescent="0.25">
      <c r="B5" s="22" t="s">
        <v>5</v>
      </c>
      <c r="C5" s="24" t="s">
        <v>12</v>
      </c>
      <c r="D5" s="8"/>
      <c r="E5"/>
      <c r="G5" s="11" t="s">
        <v>4</v>
      </c>
      <c r="H5" s="13" t="s">
        <v>10</v>
      </c>
      <c r="I5" s="10"/>
      <c r="J5" t="s">
        <v>4</v>
      </c>
      <c r="K5" t="s">
        <v>10</v>
      </c>
      <c r="L5" s="8"/>
      <c r="M5" s="2" t="b">
        <v>1</v>
      </c>
      <c r="N5" s="2" t="b">
        <v>1</v>
      </c>
      <c r="P5" s="2" t="str">
        <v>X-02</v>
      </c>
      <c r="Q5" s="2" t="str">
        <v>Level 1</v>
      </c>
      <c r="S5" s="2" t="b">
        <v>1</v>
      </c>
      <c r="T5" s="2" t="b">
        <v>1</v>
      </c>
    </row>
    <row r="6" spans="1:20" s="2" customFormat="1" x14ac:dyDescent="0.25">
      <c r="B6" s="22" t="s">
        <v>6</v>
      </c>
      <c r="C6" s="24" t="s">
        <v>13</v>
      </c>
      <c r="D6" s="8"/>
      <c r="E6"/>
      <c r="G6" s="11" t="s">
        <v>5</v>
      </c>
      <c r="H6" s="13" t="s">
        <v>14</v>
      </c>
      <c r="I6" s="10"/>
      <c r="J6" t="s">
        <v>5</v>
      </c>
      <c r="K6" t="s">
        <v>14</v>
      </c>
      <c r="L6" s="8"/>
      <c r="M6" s="2" t="b">
        <v>1</v>
      </c>
      <c r="N6" s="2" t="b">
        <v>1</v>
      </c>
      <c r="P6" s="2" t="str">
        <v>X-03</v>
      </c>
      <c r="Q6" s="2" t="str">
        <v>Level 2</v>
      </c>
      <c r="S6" s="2" t="b">
        <v>1</v>
      </c>
      <c r="T6" s="2" t="b">
        <v>1</v>
      </c>
    </row>
    <row r="7" spans="1:20" s="2" customFormat="1" x14ac:dyDescent="0.25">
      <c r="B7" s="23" t="s">
        <v>7</v>
      </c>
      <c r="C7" s="24" t="s">
        <v>9</v>
      </c>
      <c r="D7" s="8"/>
      <c r="E7" s="8"/>
      <c r="F7"/>
      <c r="G7" s="11" t="s">
        <v>5</v>
      </c>
      <c r="H7" s="13" t="s">
        <v>13</v>
      </c>
      <c r="I7"/>
      <c r="J7" t="s">
        <v>5</v>
      </c>
      <c r="K7" t="s">
        <v>13</v>
      </c>
      <c r="L7"/>
      <c r="M7" s="2" t="b">
        <v>1</v>
      </c>
      <c r="N7" s="2" t="b">
        <v>1</v>
      </c>
      <c r="P7" s="2" t="str">
        <v>X-03</v>
      </c>
      <c r="Q7" s="2" t="str">
        <v>Level 3</v>
      </c>
      <c r="S7" s="2" t="b">
        <v>1</v>
      </c>
      <c r="T7" s="2" t="b">
        <v>1</v>
      </c>
    </row>
    <row r="8" spans="1:20" s="2" customFormat="1" x14ac:dyDescent="0.25">
      <c r="B8" s="4"/>
      <c r="C8" s="4"/>
      <c r="D8" s="8"/>
      <c r="E8" s="9"/>
      <c r="F8"/>
      <c r="G8" s="11" t="s">
        <v>6</v>
      </c>
      <c r="H8" s="13" t="s">
        <v>13</v>
      </c>
      <c r="I8"/>
      <c r="J8" t="s">
        <v>6</v>
      </c>
      <c r="K8" t="s">
        <v>13</v>
      </c>
      <c r="L8"/>
      <c r="M8" t="b">
        <v>1</v>
      </c>
      <c r="N8" s="2" t="b">
        <v>1</v>
      </c>
      <c r="P8" s="2" t="str">
        <v>X-04</v>
      </c>
      <c r="Q8" s="2" t="str">
        <v>Level 3</v>
      </c>
      <c r="S8" s="2" t="b">
        <v>1</v>
      </c>
      <c r="T8" s="2" t="b">
        <v>1</v>
      </c>
    </row>
    <row r="9" spans="1:20" x14ac:dyDescent="0.25">
      <c r="D9" s="8"/>
      <c r="E9" s="9"/>
      <c r="G9" s="15" t="s">
        <v>7</v>
      </c>
      <c r="H9" s="13" t="s">
        <v>10</v>
      </c>
      <c r="J9" t="s">
        <v>7</v>
      </c>
      <c r="K9" t="s">
        <v>10</v>
      </c>
      <c r="M9" t="b">
        <v>1</v>
      </c>
      <c r="N9" t="b">
        <v>1</v>
      </c>
      <c r="P9" t="str">
        <v>X-05</v>
      </c>
      <c r="Q9" t="str">
        <v>Level 1</v>
      </c>
      <c r="S9" t="b">
        <v>1</v>
      </c>
      <c r="T9" t="b">
        <v>1</v>
      </c>
    </row>
    <row r="10" spans="1:20" x14ac:dyDescent="0.25">
      <c r="D10" s="8"/>
      <c r="E10" s="9"/>
      <c r="G10" s="15" t="s">
        <v>7</v>
      </c>
      <c r="H10" s="13" t="s">
        <v>14</v>
      </c>
      <c r="J10" t="s">
        <v>7</v>
      </c>
      <c r="K10" t="s">
        <v>14</v>
      </c>
      <c r="M10" t="b">
        <v>1</v>
      </c>
      <c r="N10" t="b">
        <v>1</v>
      </c>
      <c r="P10" t="str">
        <v>X-05</v>
      </c>
      <c r="Q10" t="str">
        <v>Level 2</v>
      </c>
      <c r="S10" t="b">
        <v>1</v>
      </c>
      <c r="T10" t="b">
        <v>1</v>
      </c>
    </row>
    <row r="11" spans="1:20" x14ac:dyDescent="0.25">
      <c r="A11" s="1"/>
      <c r="D11" s="8"/>
      <c r="E11" s="9"/>
      <c r="G11" s="14" t="s">
        <v>7</v>
      </c>
      <c r="H11" s="13" t="s">
        <v>13</v>
      </c>
      <c r="J11" t="s">
        <v>7</v>
      </c>
      <c r="K11" t="s">
        <v>13</v>
      </c>
      <c r="M11" t="b">
        <v>1</v>
      </c>
      <c r="N11" t="b">
        <v>1</v>
      </c>
      <c r="P11" t="str">
        <v>X-05</v>
      </c>
      <c r="Q11" t="str">
        <v>Level 3</v>
      </c>
      <c r="S11" t="b">
        <v>1</v>
      </c>
      <c r="T11" t="b">
        <v>1</v>
      </c>
    </row>
    <row r="12" spans="1:20" x14ac:dyDescent="0.25">
      <c r="A12" s="1"/>
      <c r="D12" s="8"/>
      <c r="E12" s="9"/>
    </row>
    <row r="13" spans="1:20" x14ac:dyDescent="0.25">
      <c r="A13" s="1"/>
      <c r="D13" s="8"/>
      <c r="E13" s="9"/>
    </row>
    <row r="14" spans="1:20" x14ac:dyDescent="0.25">
      <c r="A14" s="1"/>
      <c r="D14" s="8"/>
      <c r="E14" s="9"/>
    </row>
    <row r="15" spans="1:20" x14ac:dyDescent="0.25">
      <c r="A15" s="1"/>
      <c r="D15" s="8"/>
      <c r="E15" s="9"/>
    </row>
    <row r="16" spans="1:20" x14ac:dyDescent="0.25">
      <c r="A16" s="1"/>
      <c r="D16" s="8"/>
      <c r="E16" s="1"/>
    </row>
    <row r="17" spans="1:13" x14ac:dyDescent="0.25">
      <c r="A17" s="1"/>
      <c r="D17" s="8"/>
      <c r="E17" s="1"/>
    </row>
    <row r="18" spans="1:13" x14ac:dyDescent="0.25">
      <c r="A18" s="1"/>
      <c r="D18" s="8"/>
      <c r="E18" s="1"/>
      <c r="M18" s="2"/>
    </row>
    <row r="19" spans="1:13" x14ac:dyDescent="0.25">
      <c r="A19" s="1"/>
      <c r="D19" s="8"/>
      <c r="E19" s="1"/>
    </row>
    <row r="20" spans="1:13" x14ac:dyDescent="0.25">
      <c r="D20" s="8"/>
      <c r="E20" s="1"/>
    </row>
    <row r="21" spans="1:13" x14ac:dyDescent="0.25">
      <c r="D21" s="8"/>
      <c r="E21" s="1"/>
    </row>
    <row r="22" spans="1:13" x14ac:dyDescent="0.25">
      <c r="D22" s="8"/>
    </row>
  </sheetData>
  <sortState xmlns:xlrd2="http://schemas.microsoft.com/office/spreadsheetml/2017/richdata2" ref="B3:C7">
    <sortCondition ref="B7"/>
  </sortState>
  <mergeCells count="2">
    <mergeCell ref="B1:C1"/>
    <mergeCell ref="G1:H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187416-B945-404F-90CD-0C45A3725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2025-12-14T15:15:06Z</dcterms:modified>
</cp:coreProperties>
</file>