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70" documentId="8_{2425C8DF-3034-47B7-BFEB-26354EF5E305}" xr6:coauthVersionLast="47" xr6:coauthVersionMax="47" xr10:uidLastSave="{CEC24E43-4306-4451-8979-48913B4CD09D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Sheet1!$B$3:$E$3</definedName>
    <definedName name="ExternalData_1" localSheetId="0" hidden="1">Sheet1!$L$21:$O$28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 a="1"/>
  <c r="Q21" i="1" s="1"/>
  <c r="Q12" i="1" a="1"/>
  <c r="Q12" i="1" s="1"/>
  <c r="L12" i="1" a="1"/>
  <c r="L12" i="1" s="1"/>
  <c r="L3" i="1" a="1"/>
  <c r="G8" i="1"/>
  <c r="G5" i="1"/>
  <c r="G4" i="1"/>
  <c r="L3" i="1" l="1"/>
  <c r="Q3" i="1" a="1"/>
  <c r="Q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E67039-5257-4B92-ABCF-D0ECE4837A7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datetime
df = xl(%P2%, headers=True)
def getNextMon(dt):
    return dt + datetime.timedelta(days = (7 - dt.weekday())) if dt.weekday() &gt; 4 else dt
df["Date"] = pd.to_datetime(df["Date"]).apply(
lambda x: getNextMon(x))
df</code>
    </pythonScript>
  </pythonScripts>
</python>
</file>

<file path=xl/sharedStrings.xml><?xml version="1.0" encoding="utf-8"?>
<sst xmlns="http://schemas.openxmlformats.org/spreadsheetml/2006/main" count="56" uniqueCount="18">
  <si>
    <t>Result</t>
  </si>
  <si>
    <t>Question</t>
  </si>
  <si>
    <t>Total Sales</t>
  </si>
  <si>
    <t>Product ID</t>
  </si>
  <si>
    <t>Date</t>
  </si>
  <si>
    <t>Customer ID</t>
  </si>
  <si>
    <t>XNM-13</t>
  </si>
  <si>
    <t>XNM-07</t>
  </si>
  <si>
    <t>XNM-01</t>
  </si>
  <si>
    <t>XNM-22</t>
  </si>
  <si>
    <t>C-13</t>
  </si>
  <si>
    <t>C-16</t>
  </si>
  <si>
    <t>XNM-12</t>
  </si>
  <si>
    <t>C-12</t>
  </si>
  <si>
    <t>XNM-11</t>
  </si>
  <si>
    <t>XNM-14</t>
  </si>
  <si>
    <t>C-18</t>
  </si>
  <si>
    <t>X-13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</si>
</sst>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0" xfId="0" applyFont="1" applyBorder="1"/>
    <xf numFmtId="0" fontId="2" fillId="0" borderId="7" xfId="0" applyFont="1" applyBorder="1"/>
    <xf numFmtId="14" fontId="2" fillId="0" borderId="2" xfId="0" applyNumberFormat="1" applyFont="1" applyBorder="1"/>
    <xf numFmtId="14" fontId="2" fillId="0" borderId="6" xfId="0" applyNumberFormat="1" applyFont="1" applyBorder="1"/>
    <xf numFmtId="0" fontId="2" fillId="5" borderId="9" xfId="0" applyFont="1" applyFill="1" applyBorder="1"/>
    <xf numFmtId="0" fontId="2" fillId="5" borderId="10" xfId="0" applyFont="1" applyFill="1" applyBorder="1"/>
    <xf numFmtId="0" fontId="4" fillId="3" borderId="3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vertical="center" wrapText="1"/>
    </xf>
    <xf numFmtId="14" fontId="0" fillId="0" borderId="0" xfId="0" applyNumberFormat="1"/>
    <xf numFmtId="14" fontId="2" fillId="4" borderId="11" xfId="0" applyNumberFormat="1" applyFont="1" applyFill="1" applyBorder="1"/>
    <xf numFmtId="14" fontId="2" fillId="0" borderId="11" xfId="0" applyNumberFormat="1" applyFont="1" applyBorder="1"/>
    <xf numFmtId="0" fontId="2" fillId="0" borderId="12" xfId="0" applyFont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4" fontId="2" fillId="0" borderId="16" xfId="0" applyNumberFormat="1" applyFont="1" applyBorder="1"/>
    <xf numFmtId="0" fontId="2" fillId="0" borderId="17" xfId="0" applyFont="1" applyBorder="1"/>
    <xf numFmtId="0" fontId="2" fillId="5" borderId="17" xfId="0" applyFont="1" applyFill="1" applyBorder="1"/>
    <xf numFmtId="0" fontId="2" fillId="0" borderId="18" xfId="0" applyFont="1" applyBorder="1"/>
  </cellXfs>
  <cellStyles count="1">
    <cellStyle name="Normalny" xfId="0" builtinId="0"/>
  </cellStyles>
  <dxfs count="9"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200756</xdr:rowOff>
    </xdr:from>
    <xdr:to>
      <xdr:col>5</xdr:col>
      <xdr:colOff>575896</xdr:colOff>
      <xdr:row>20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629631"/>
          <a:ext cx="3833446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389: Replacement!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replace any dates that fall on a Saturday or Sunday with the date of the following Monday.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200518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172189</xdr:colOff>
      <xdr:row>0</xdr:row>
      <xdr:rowOff>46891</xdr:rowOff>
    </xdr:from>
    <xdr:to>
      <xdr:col>5</xdr:col>
      <xdr:colOff>1247777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264" y="46891"/>
          <a:ext cx="4247413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206620</xdr:rowOff>
    </xdr:from>
    <xdr:to>
      <xdr:col>1</xdr:col>
      <xdr:colOff>419540</xdr:colOff>
      <xdr:row>13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234464</xdr:colOff>
      <xdr:row>18</xdr:row>
      <xdr:rowOff>168518</xdr:rowOff>
    </xdr:from>
    <xdr:to>
      <xdr:col>5</xdr:col>
      <xdr:colOff>156065</xdr:colOff>
      <xdr:row>20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1970945" y="4161691"/>
          <a:ext cx="1687389" cy="315057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158263</xdr:colOff>
      <xdr:row>18</xdr:row>
      <xdr:rowOff>168518</xdr:rowOff>
    </xdr:from>
    <xdr:to>
      <xdr:col>3</xdr:col>
      <xdr:colOff>171454</xdr:colOff>
      <xdr:row>20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378071" y="4161691"/>
          <a:ext cx="1529864" cy="315058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BECBAC-CA8B-4C8F-AB06-9E8588309122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 ID" tableColumnId="2"/>
      <queryTableField id="3" name="Customer ID" tableColumnId="3"/>
      <queryTableField id="4" name="Total Sales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fb>45509</fb>
    <v>0</v>
  </rv>
  <rv s="0">
    <fb>45544</fb>
    <v>0</v>
  </rv>
  <rv s="0">
    <fb>45511</fb>
    <v>0</v>
  </rv>
  <rv s="0">
    <fb>45516</fb>
    <v>0</v>
  </rv>
  <rv s="0">
    <fb>45523</fb>
    <v>0</v>
  </rv>
  <rv s="0">
    <fb>45525</fb>
    <v>0</v>
  </rv>
  <rv s="0">
    <fb>45530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5C310-7A58-48D2-90D1-73AEE4CBB7BE}" name="tblStart" displayName="tblStart" ref="B3:E10" totalsRowShown="0" headerRowDxfId="1" headerRowBorderDxfId="7" tableBorderDxfId="8" totalsRowBorderDxfId="6">
  <autoFilter ref="B3:E10" xr:uid="{6455C310-7A58-48D2-90D1-73AEE4CBB7BE}"/>
  <tableColumns count="4">
    <tableColumn id="1" xr3:uid="{9E644806-26D4-464F-B629-82408C1D678A}" name="Date" dataDxfId="5"/>
    <tableColumn id="2" xr3:uid="{94C55B34-11E4-4A03-9E9F-3A4364B5C0A9}" name="Product ID" dataDxfId="4"/>
    <tableColumn id="3" xr3:uid="{B3739421-63E8-423B-9DD7-5A9EE302DF02}" name="Customer ID" dataDxfId="3"/>
    <tableColumn id="4" xr3:uid="{366EFBA0-5AA9-48A9-A1EE-AF9BD0E7B651}" name="Total Sal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9FF4A-9A30-4670-B673-340AA497BFBC}" name="tblSolution" displayName="tblSolution" ref="L21:O28" tableType="queryTable" totalsRowShown="0">
  <autoFilter ref="L21:O28" xr:uid="{2C09FF4A-9A30-4670-B673-340AA497BFBC}"/>
  <tableColumns count="4">
    <tableColumn id="1" xr3:uid="{E86C8FD1-9203-4493-A7E2-E746EC168330}" uniqueName="1" name="Date" queryTableFieldId="1" dataDxfId="0"/>
    <tableColumn id="2" xr3:uid="{1256D848-56A5-4FAB-9DB3-FA43F5C3EBF7}" uniqueName="2" name="Product ID" queryTableFieldId="2"/>
    <tableColumn id="3" xr3:uid="{1845B4E2-69C1-4974-B193-34AEDEA3F54C}" uniqueName="3" name="Customer ID" queryTableFieldId="3"/>
    <tableColumn id="4" xr3:uid="{DD341626-60AA-4C4F-B032-23F672713BF7}" uniqueName="4" name="Total Sales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8"/>
  <sheetViews>
    <sheetView tabSelected="1" topLeftCell="A3" zoomScale="130" zoomScaleNormal="130" workbookViewId="0">
      <selection activeCell="T7" sqref="T7"/>
    </sheetView>
  </sheetViews>
  <sheetFormatPr defaultRowHeight="16.5" x14ac:dyDescent="0.3"/>
  <cols>
    <col min="1" max="1" width="2.875" customWidth="1"/>
    <col min="2" max="2" width="9" style="2" bestFit="1" customWidth="1"/>
    <col min="3" max="3" width="10.875" style="2" customWidth="1"/>
    <col min="4" max="4" width="12.25" style="2" customWidth="1"/>
    <col min="5" max="5" width="11" style="2" customWidth="1"/>
    <col min="6" max="6" width="15.75" customWidth="1"/>
    <col min="7" max="7" width="9.125" bestFit="1" customWidth="1"/>
    <col min="8" max="8" width="9.875" bestFit="1" customWidth="1"/>
    <col min="9" max="9" width="11.625" bestFit="1" customWidth="1"/>
    <col min="10" max="10" width="9.875" bestFit="1" customWidth="1"/>
    <col min="11" max="11" width="12.625" customWidth="1"/>
    <col min="12" max="12" width="10.375" bestFit="1" customWidth="1"/>
    <col min="13" max="13" width="12.25" bestFit="1" customWidth="1"/>
    <col min="14" max="14" width="14" bestFit="1" customWidth="1"/>
    <col min="15" max="15" width="12.375" bestFit="1" customWidth="1"/>
    <col min="17" max="17" width="9.25" bestFit="1" customWidth="1"/>
  </cols>
  <sheetData>
    <row r="1" spans="2:20" ht="30.75" customHeight="1" x14ac:dyDescent="0.3"/>
    <row r="2" spans="2:20" s="8" customFormat="1" ht="22.5" customHeight="1" x14ac:dyDescent="0.3">
      <c r="B2" s="22" t="s">
        <v>1</v>
      </c>
      <c r="C2" s="22"/>
      <c r="D2" s="22"/>
      <c r="E2" s="22"/>
      <c r="G2" s="22" t="s">
        <v>0</v>
      </c>
      <c r="H2" s="22"/>
      <c r="I2" s="22"/>
      <c r="J2" s="22"/>
    </row>
    <row r="3" spans="2:20" s="8" customFormat="1" ht="22.5" customHeight="1" x14ac:dyDescent="0.3">
      <c r="B3" s="28" t="s">
        <v>4</v>
      </c>
      <c r="C3" s="29" t="s">
        <v>3</v>
      </c>
      <c r="D3" s="29" t="s">
        <v>5</v>
      </c>
      <c r="E3" s="30" t="s">
        <v>2</v>
      </c>
      <c r="G3" s="9" t="s">
        <v>4</v>
      </c>
      <c r="H3" s="10" t="s">
        <v>3</v>
      </c>
      <c r="I3" s="10" t="s">
        <v>5</v>
      </c>
      <c r="J3" s="11" t="s">
        <v>2</v>
      </c>
      <c r="L3" s="23" t="str" cm="1">
        <f t="array" ref="L3:O10">_xlfn.LET(
_xlpm._data_, B4:E10,
_xlpm._res_, IF({1,0,0,0}, IF(WEEKDAY(_xlpm._data_, 2) &gt; 5,_xlpm._data_ + 7- WEEKDAY(_xlpm._data_, 2) + 1, _xlpm._data_), _xlpm._data_),
_xlpm._headers_, {"Date","Product ID","Customer ID","Total Sales"},
_xlpm._sol_, _xlfn.VSTACK(_xlpm._headers_, _xlpm._res_),
_xlpm._sol_)</f>
        <v>Date</v>
      </c>
      <c r="M3" s="8" t="str">
        <v>Product ID</v>
      </c>
      <c r="N3" s="8" t="str">
        <v>Customer ID</v>
      </c>
      <c r="O3" s="8" t="str">
        <v>Total Sales</v>
      </c>
      <c r="Q3" s="8" t="b" cm="1">
        <f t="array" ref="Q3:T10">_xlfn.ANCHORARRAY(L3)=G3:J10</f>
        <v>1</v>
      </c>
      <c r="R3" s="8" t="b">
        <v>1</v>
      </c>
      <c r="S3" s="8" t="b">
        <v>1</v>
      </c>
      <c r="T3" s="8" t="b">
        <v>1</v>
      </c>
    </row>
    <row r="4" spans="2:20" s="1" customFormat="1" ht="15" x14ac:dyDescent="0.25">
      <c r="B4" s="25">
        <v>45508</v>
      </c>
      <c r="C4" s="12" t="s">
        <v>12</v>
      </c>
      <c r="D4" s="20" t="s">
        <v>13</v>
      </c>
      <c r="E4" s="27">
        <v>900</v>
      </c>
      <c r="F4" s="3"/>
      <c r="G4" s="18">
        <f>B4+1</f>
        <v>45509</v>
      </c>
      <c r="H4" s="12" t="s">
        <v>12</v>
      </c>
      <c r="I4" s="20" t="s">
        <v>13</v>
      </c>
      <c r="J4" s="13">
        <v>900</v>
      </c>
      <c r="L4" s="6">
        <v>45509</v>
      </c>
      <c r="M4" s="1" t="str">
        <v>XNM-12</v>
      </c>
      <c r="N4" s="1" t="str">
        <v>C-12</v>
      </c>
      <c r="O4" s="1">
        <v>900</v>
      </c>
      <c r="Q4" s="1" t="b">
        <v>1</v>
      </c>
      <c r="R4" s="1" t="b">
        <v>1</v>
      </c>
      <c r="S4" s="1" t="b">
        <v>1</v>
      </c>
      <c r="T4" s="1" t="b">
        <v>1</v>
      </c>
    </row>
    <row r="5" spans="2:20" s="1" customFormat="1" ht="15" x14ac:dyDescent="0.25">
      <c r="B5" s="25">
        <v>45542</v>
      </c>
      <c r="C5" s="12" t="s">
        <v>6</v>
      </c>
      <c r="D5" s="20" t="s">
        <v>17</v>
      </c>
      <c r="E5" s="27">
        <v>1500</v>
      </c>
      <c r="F5" s="3"/>
      <c r="G5" s="18">
        <f>B5+2</f>
        <v>45544</v>
      </c>
      <c r="H5" s="12" t="s">
        <v>6</v>
      </c>
      <c r="I5" s="20" t="s">
        <v>17</v>
      </c>
      <c r="J5" s="13">
        <v>1500</v>
      </c>
      <c r="K5" s="14"/>
      <c r="L5" s="6">
        <v>45544</v>
      </c>
      <c r="M5" s="1" t="str">
        <v>XNM-13</v>
      </c>
      <c r="N5" s="1" t="str">
        <v>X-13</v>
      </c>
      <c r="O5" s="1">
        <v>1500</v>
      </c>
      <c r="Q5" s="1" t="b">
        <v>1</v>
      </c>
      <c r="R5" s="1" t="b">
        <v>1</v>
      </c>
      <c r="S5" s="1" t="b">
        <v>1</v>
      </c>
      <c r="T5" s="1" t="b">
        <v>1</v>
      </c>
    </row>
    <row r="6" spans="2:20" s="1" customFormat="1" ht="15" x14ac:dyDescent="0.25">
      <c r="B6" s="26">
        <v>45511</v>
      </c>
      <c r="C6" s="12" t="s">
        <v>7</v>
      </c>
      <c r="D6" s="20" t="s">
        <v>10</v>
      </c>
      <c r="E6" s="27">
        <v>500</v>
      </c>
      <c r="F6" s="3"/>
      <c r="G6" s="18">
        <v>45511</v>
      </c>
      <c r="H6" s="12" t="s">
        <v>7</v>
      </c>
      <c r="I6" s="20" t="s">
        <v>10</v>
      </c>
      <c r="J6" s="13">
        <v>500</v>
      </c>
      <c r="K6" s="15"/>
      <c r="L6" s="6">
        <v>45511</v>
      </c>
      <c r="M6" s="1" t="str">
        <v>XNM-07</v>
      </c>
      <c r="N6" s="1" t="str">
        <v>C-13</v>
      </c>
      <c r="O6" s="1">
        <v>500</v>
      </c>
      <c r="Q6" s="1" t="b">
        <v>1</v>
      </c>
      <c r="R6" s="1" t="b">
        <v>1</v>
      </c>
      <c r="S6" s="1" t="b">
        <v>1</v>
      </c>
      <c r="T6" s="1" t="b">
        <v>1</v>
      </c>
    </row>
    <row r="7" spans="2:20" s="1" customFormat="1" ht="15" x14ac:dyDescent="0.25">
      <c r="B7" s="26">
        <v>45516</v>
      </c>
      <c r="C7" s="12" t="s">
        <v>14</v>
      </c>
      <c r="D7" s="20" t="s">
        <v>13</v>
      </c>
      <c r="E7" s="27">
        <v>600</v>
      </c>
      <c r="F7" s="3"/>
      <c r="G7" s="18">
        <v>45516</v>
      </c>
      <c r="H7" s="12" t="s">
        <v>14</v>
      </c>
      <c r="I7" s="20" t="s">
        <v>13</v>
      </c>
      <c r="J7" s="13">
        <v>600</v>
      </c>
      <c r="K7" s="15"/>
      <c r="L7" s="6">
        <v>45516</v>
      </c>
      <c r="M7" s="1" t="str">
        <v>XNM-11</v>
      </c>
      <c r="N7" s="1" t="str">
        <v>C-12</v>
      </c>
      <c r="O7" s="1">
        <v>600</v>
      </c>
      <c r="Q7" s="1" t="b">
        <v>1</v>
      </c>
      <c r="R7" s="1" t="b">
        <v>1</v>
      </c>
      <c r="S7" s="1" t="b">
        <v>1</v>
      </c>
      <c r="T7" s="1" t="b">
        <v>1</v>
      </c>
    </row>
    <row r="8" spans="2:20" s="1" customFormat="1" ht="15" x14ac:dyDescent="0.25">
      <c r="B8" s="25">
        <v>45522</v>
      </c>
      <c r="C8" s="12" t="s">
        <v>8</v>
      </c>
      <c r="D8" s="20" t="s">
        <v>11</v>
      </c>
      <c r="E8" s="27">
        <v>800</v>
      </c>
      <c r="F8" s="3"/>
      <c r="G8" s="18">
        <f>B8+2</f>
        <v>45524</v>
      </c>
      <c r="H8" s="12" t="s">
        <v>8</v>
      </c>
      <c r="I8" s="20" t="s">
        <v>11</v>
      </c>
      <c r="J8" s="13">
        <v>800</v>
      </c>
      <c r="K8" s="15"/>
      <c r="L8" s="6">
        <v>45523</v>
      </c>
      <c r="M8" s="1" t="str">
        <v>XNM-01</v>
      </c>
      <c r="N8" s="1" t="str">
        <v>C-16</v>
      </c>
      <c r="O8" s="1">
        <v>800</v>
      </c>
      <c r="Q8" s="1" t="b">
        <v>0</v>
      </c>
      <c r="R8" s="1" t="b">
        <v>1</v>
      </c>
      <c r="S8" s="1" t="b">
        <v>1</v>
      </c>
      <c r="T8" s="1" t="b">
        <v>1</v>
      </c>
    </row>
    <row r="9" spans="2:20" s="1" customFormat="1" ht="15" x14ac:dyDescent="0.25">
      <c r="B9" s="26">
        <v>45525</v>
      </c>
      <c r="C9" s="12" t="s">
        <v>9</v>
      </c>
      <c r="D9" s="20" t="s">
        <v>10</v>
      </c>
      <c r="E9" s="27">
        <v>1400</v>
      </c>
      <c r="F9" s="3"/>
      <c r="G9" s="18">
        <v>45525</v>
      </c>
      <c r="H9" s="12" t="s">
        <v>9</v>
      </c>
      <c r="I9" s="20" t="s">
        <v>10</v>
      </c>
      <c r="J9" s="13">
        <v>1400</v>
      </c>
      <c r="K9" s="15"/>
      <c r="L9" s="6">
        <v>45525</v>
      </c>
      <c r="M9" s="1" t="str">
        <v>XNM-22</v>
      </c>
      <c r="N9" s="1" t="str">
        <v>C-13</v>
      </c>
      <c r="O9" s="1">
        <v>1400</v>
      </c>
      <c r="Q9" s="1" t="b">
        <v>1</v>
      </c>
      <c r="R9" s="1" t="b">
        <v>1</v>
      </c>
      <c r="S9" s="1" t="b">
        <v>1</v>
      </c>
      <c r="T9" s="1" t="b">
        <v>1</v>
      </c>
    </row>
    <row r="10" spans="2:20" s="1" customFormat="1" ht="15" x14ac:dyDescent="0.25">
      <c r="B10" s="31">
        <v>45530</v>
      </c>
      <c r="C10" s="32" t="s">
        <v>15</v>
      </c>
      <c r="D10" s="33" t="s">
        <v>16</v>
      </c>
      <c r="E10" s="34">
        <v>1700</v>
      </c>
      <c r="F10" s="3"/>
      <c r="G10" s="19">
        <v>45530</v>
      </c>
      <c r="H10" s="16" t="s">
        <v>15</v>
      </c>
      <c r="I10" s="21" t="s">
        <v>16</v>
      </c>
      <c r="J10" s="17">
        <v>1700</v>
      </c>
      <c r="K10" s="15"/>
      <c r="L10" s="1">
        <v>45530</v>
      </c>
      <c r="M10" s="1" t="str">
        <v>XNM-14</v>
      </c>
      <c r="N10" s="1" t="str">
        <v>C-18</v>
      </c>
      <c r="O10" s="1">
        <v>1700</v>
      </c>
      <c r="Q10" s="1" t="b">
        <v>1</v>
      </c>
      <c r="R10" s="1" t="b">
        <v>1</v>
      </c>
      <c r="S10" s="1" t="b">
        <v>1</v>
      </c>
      <c r="T10" s="1" t="b">
        <v>1</v>
      </c>
    </row>
    <row r="11" spans="2:20" s="1" customFormat="1" x14ac:dyDescent="0.3">
      <c r="B11" s="2"/>
      <c r="C11" s="2"/>
      <c r="D11" s="7"/>
      <c r="E11" s="7"/>
      <c r="F11" s="3"/>
      <c r="J11" s="6"/>
      <c r="K11" s="5"/>
    </row>
    <row r="12" spans="2:20" s="1" customFormat="1" x14ac:dyDescent="0.3">
      <c r="B12" s="2"/>
      <c r="C12" s="2"/>
      <c r="D12" s="7"/>
      <c r="E12" s="7"/>
      <c r="F12" s="3"/>
      <c r="J12" s="6"/>
      <c r="K12" s="5"/>
      <c r="L12" s="1" t="str" cm="1">
        <f t="array" ref="L12:O19">_xlfn._xlws.PY(0,0,B3:E10)</f>
        <v>Date</v>
      </c>
      <c r="M12" s="1" t="str">
        <v>Product ID</v>
      </c>
      <c r="N12" s="1" t="str">
        <v>Customer ID</v>
      </c>
      <c r="O12" s="1" t="str">
        <v>Total Sales</v>
      </c>
      <c r="Q12" s="1" t="b" cm="1">
        <f t="array" ref="Q12:T19">_xlfn.ANCHORARRAY(L12)=G3:J10</f>
        <v>1</v>
      </c>
      <c r="R12" s="1" t="b">
        <v>1</v>
      </c>
      <c r="S12" s="1" t="b">
        <v>1</v>
      </c>
      <c r="T12" s="1" t="b">
        <v>1</v>
      </c>
    </row>
    <row r="13" spans="2:20" x14ac:dyDescent="0.3">
      <c r="D13" s="7"/>
      <c r="E13" s="7"/>
      <c r="F13" s="4"/>
      <c r="G13" s="1"/>
      <c r="H13" s="1"/>
      <c r="L13" vm="1">
        <v>45509</v>
      </c>
      <c r="M13" t="str">
        <v>XNM-12</v>
      </c>
      <c r="N13" t="str">
        <v>C-12</v>
      </c>
      <c r="O13">
        <v>900</v>
      </c>
      <c r="Q13" t="b">
        <v>1</v>
      </c>
      <c r="R13" t="b">
        <v>1</v>
      </c>
      <c r="S13" t="b">
        <v>1</v>
      </c>
      <c r="T13" t="b">
        <v>1</v>
      </c>
    </row>
    <row r="14" spans="2:20" x14ac:dyDescent="0.3">
      <c r="L14" vm="2">
        <v>45544</v>
      </c>
      <c r="M14" t="str">
        <v>XNM-13</v>
      </c>
      <c r="N14" t="str">
        <v>X-13</v>
      </c>
      <c r="O14">
        <v>1500</v>
      </c>
      <c r="Q14" t="b">
        <v>1</v>
      </c>
      <c r="R14" t="b">
        <v>1</v>
      </c>
      <c r="S14" t="b">
        <v>1</v>
      </c>
      <c r="T14" t="b">
        <v>1</v>
      </c>
    </row>
    <row r="15" spans="2:20" x14ac:dyDescent="0.3">
      <c r="L15" vm="3">
        <v>45511</v>
      </c>
      <c r="M15" t="str">
        <v>XNM-07</v>
      </c>
      <c r="N15" t="str">
        <v>C-13</v>
      </c>
      <c r="O15">
        <v>500</v>
      </c>
      <c r="Q15" t="b">
        <v>1</v>
      </c>
      <c r="R15" t="b">
        <v>1</v>
      </c>
      <c r="S15" t="b">
        <v>1</v>
      </c>
      <c r="T15" t="b">
        <v>1</v>
      </c>
    </row>
    <row r="16" spans="2:20" x14ac:dyDescent="0.3">
      <c r="L16" vm="4">
        <v>45516</v>
      </c>
      <c r="M16" t="str">
        <v>XNM-11</v>
      </c>
      <c r="N16" t="str">
        <v>C-12</v>
      </c>
      <c r="O16">
        <v>600</v>
      </c>
      <c r="Q16" t="b">
        <v>1</v>
      </c>
      <c r="R16" t="b">
        <v>1</v>
      </c>
      <c r="S16" t="b">
        <v>1</v>
      </c>
      <c r="T16" t="b">
        <v>1</v>
      </c>
    </row>
    <row r="17" spans="12:20" x14ac:dyDescent="0.3">
      <c r="L17" vm="5">
        <v>45523</v>
      </c>
      <c r="M17" t="str">
        <v>XNM-01</v>
      </c>
      <c r="N17" t="str">
        <v>C-16</v>
      </c>
      <c r="O17">
        <v>800</v>
      </c>
      <c r="Q17" t="b">
        <v>0</v>
      </c>
      <c r="R17" t="b">
        <v>1</v>
      </c>
      <c r="S17" t="b">
        <v>1</v>
      </c>
      <c r="T17" t="b">
        <v>1</v>
      </c>
    </row>
    <row r="18" spans="12:20" x14ac:dyDescent="0.3">
      <c r="L18" vm="6">
        <v>45525</v>
      </c>
      <c r="M18" t="str">
        <v>XNM-22</v>
      </c>
      <c r="N18" t="str">
        <v>C-13</v>
      </c>
      <c r="O18">
        <v>1400</v>
      </c>
      <c r="Q18" t="b">
        <v>1</v>
      </c>
      <c r="R18" t="b">
        <v>1</v>
      </c>
      <c r="S18" t="b">
        <v>1</v>
      </c>
      <c r="T18" t="b">
        <v>1</v>
      </c>
    </row>
    <row r="19" spans="12:20" x14ac:dyDescent="0.3">
      <c r="L19" vm="7">
        <v>45530</v>
      </c>
      <c r="M19" t="str">
        <v>XNM-14</v>
      </c>
      <c r="N19" t="str">
        <v>C-18</v>
      </c>
      <c r="O19">
        <v>1700</v>
      </c>
      <c r="Q19" t="b">
        <v>1</v>
      </c>
      <c r="R19" t="b">
        <v>1</v>
      </c>
      <c r="S19" t="b">
        <v>1</v>
      </c>
      <c r="T19" t="b">
        <v>1</v>
      </c>
    </row>
    <row r="21" spans="12:20" x14ac:dyDescent="0.3">
      <c r="L21" t="s">
        <v>4</v>
      </c>
      <c r="M21" t="s">
        <v>3</v>
      </c>
      <c r="N21" t="s">
        <v>5</v>
      </c>
      <c r="O21" t="s">
        <v>2</v>
      </c>
      <c r="Q21" t="b" cm="1">
        <f t="array" ref="Q21:T28">tblSolution[#All]=G3:J10</f>
        <v>1</v>
      </c>
      <c r="R21" t="b">
        <v>1</v>
      </c>
      <c r="S21" t="b">
        <v>1</v>
      </c>
      <c r="T21" t="b">
        <v>1</v>
      </c>
    </row>
    <row r="22" spans="12:20" x14ac:dyDescent="0.3">
      <c r="L22" s="24">
        <v>45509</v>
      </c>
      <c r="M22" t="s">
        <v>12</v>
      </c>
      <c r="N22" t="s">
        <v>13</v>
      </c>
      <c r="O22">
        <v>900</v>
      </c>
      <c r="Q22" t="b">
        <v>1</v>
      </c>
      <c r="R22" t="b">
        <v>1</v>
      </c>
      <c r="S22" t="b">
        <v>1</v>
      </c>
      <c r="T22" t="b">
        <v>1</v>
      </c>
    </row>
    <row r="23" spans="12:20" x14ac:dyDescent="0.3">
      <c r="L23" s="24">
        <v>45544</v>
      </c>
      <c r="M23" t="s">
        <v>6</v>
      </c>
      <c r="N23" t="s">
        <v>17</v>
      </c>
      <c r="O23">
        <v>1500</v>
      </c>
      <c r="Q23" t="b">
        <v>1</v>
      </c>
      <c r="R23" t="b">
        <v>1</v>
      </c>
      <c r="S23" t="b">
        <v>1</v>
      </c>
      <c r="T23" t="b">
        <v>1</v>
      </c>
    </row>
    <row r="24" spans="12:20" x14ac:dyDescent="0.3">
      <c r="L24" s="24">
        <v>45511</v>
      </c>
      <c r="M24" t="s">
        <v>7</v>
      </c>
      <c r="N24" t="s">
        <v>10</v>
      </c>
      <c r="O24">
        <v>500</v>
      </c>
      <c r="Q24" t="b">
        <v>1</v>
      </c>
      <c r="R24" t="b">
        <v>1</v>
      </c>
      <c r="S24" t="b">
        <v>1</v>
      </c>
      <c r="T24" t="b">
        <v>1</v>
      </c>
    </row>
    <row r="25" spans="12:20" x14ac:dyDescent="0.3">
      <c r="L25" s="24">
        <v>45516</v>
      </c>
      <c r="M25" t="s">
        <v>14</v>
      </c>
      <c r="N25" t="s">
        <v>13</v>
      </c>
      <c r="O25">
        <v>600</v>
      </c>
      <c r="Q25" t="b">
        <v>1</v>
      </c>
      <c r="R25" t="b">
        <v>1</v>
      </c>
      <c r="S25" t="b">
        <v>1</v>
      </c>
      <c r="T25" t="b">
        <v>1</v>
      </c>
    </row>
    <row r="26" spans="12:20" x14ac:dyDescent="0.3">
      <c r="L26" s="24">
        <v>45523</v>
      </c>
      <c r="M26" t="s">
        <v>8</v>
      </c>
      <c r="N26" t="s">
        <v>11</v>
      </c>
      <c r="O26">
        <v>800</v>
      </c>
      <c r="Q26" t="b">
        <v>0</v>
      </c>
      <c r="R26" t="b">
        <v>1</v>
      </c>
      <c r="S26" t="b">
        <v>1</v>
      </c>
      <c r="T26" t="b">
        <v>1</v>
      </c>
    </row>
    <row r="27" spans="12:20" x14ac:dyDescent="0.3">
      <c r="L27" s="24">
        <v>45525</v>
      </c>
      <c r="M27" t="s">
        <v>9</v>
      </c>
      <c r="N27" t="s">
        <v>10</v>
      </c>
      <c r="O27">
        <v>1400</v>
      </c>
      <c r="Q27" t="b">
        <v>1</v>
      </c>
      <c r="R27" t="b">
        <v>1</v>
      </c>
      <c r="S27" t="b">
        <v>1</v>
      </c>
      <c r="T27" t="b">
        <v>1</v>
      </c>
    </row>
    <row r="28" spans="12:20" x14ac:dyDescent="0.3">
      <c r="L28" s="24">
        <v>45530</v>
      </c>
      <c r="M28" t="s">
        <v>15</v>
      </c>
      <c r="N28" t="s">
        <v>16</v>
      </c>
      <c r="O28">
        <v>1700</v>
      </c>
      <c r="Q28" t="b">
        <v>1</v>
      </c>
      <c r="R28" t="b">
        <v>1</v>
      </c>
      <c r="S28" t="b">
        <v>1</v>
      </c>
      <c r="T28" t="b">
        <v>1</v>
      </c>
    </row>
  </sheetData>
  <sortState xmlns:xlrd2="http://schemas.microsoft.com/office/spreadsheetml/2017/richdata2" ref="J6:K12">
    <sortCondition ref="J9:J12"/>
  </sortState>
  <mergeCells count="2">
    <mergeCell ref="B2:E2"/>
    <mergeCell ref="G2:J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62C2D6-9160-46BA-BFA2-C13445B1BE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2026-03-30T18:41:56Z</dcterms:modified>
</cp:coreProperties>
</file>