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4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Omid Motamedisedeh Challenges/"/>
    </mc:Choice>
  </mc:AlternateContent>
  <xr:revisionPtr revIDLastSave="69" documentId="13_ncr:1_{08CBF008-A783-4574-BB58-6A3A2B181372}" xr6:coauthVersionLast="47" xr6:coauthVersionMax="47" xr10:uidLastSave="{8A3A5FC3-64FD-4F3C-9452-43B9256C165F}"/>
  <bookViews>
    <workbookView xWindow="-120" yWindow="-120" windowWidth="29040" windowHeight="15720" xr2:uid="{00000000-000D-0000-FFFF-FFFF00000000}"/>
  </bookViews>
  <sheets>
    <sheet name="415" sheetId="1" r:id="rId1"/>
    <sheet name="README" sheetId="2" r:id="rId2"/>
  </sheets>
  <definedNames>
    <definedName name="ExternalData_1" localSheetId="0" hidden="1">'415'!$K$19:$N$24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" l="1" a="1"/>
  <c r="P26" i="1" s="1" a="1"/>
  <c r="K33" i="1" a="1"/>
  <c r="P33" i="1" s="1" a="1"/>
  <c r="P19" i="1" a="1"/>
  <c r="B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99C999-817F-4BA8-82EA-193B9A480C62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re
df = xl(%P2%, headers = True)
n = 4
h = list(dict.fromkeys(df["COLUMN"].apply(lambda x: re.match(r"[A-Z]+", x.upper()).group())))
s = [chunk.tolist() for chunk in np.array_split(df["VALUE"], n)]
d = dict()
for i in range(n):
    d[h[i]] = s[i]
df = pd.DataFrame(d)
df</code>
    </pythonScript>
  </pythonScripts>
</python>
</file>

<file path=xl/sharedStrings.xml><?xml version="1.0" encoding="utf-8"?>
<sst xmlns="http://schemas.openxmlformats.org/spreadsheetml/2006/main" count="79" uniqueCount="52">
  <si>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</si>
  <si>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</si>
  <si>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</si>
  <si>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</si>
  <si>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</si>
  <si>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</si>
  <si>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</si>
  <si>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</si>
  <si>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</si>
  <si>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</si>
  <si>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</si>
  <si>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</si>
  <si>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</si>
  <si>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</si>
  <si>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</si>
  <si>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</si>
  <si>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</si>
  <si>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</si>
  <si>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</si>
  <si>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A</t>
  </si>
  <si>
    <t>B</t>
  </si>
  <si>
    <t>C</t>
  </si>
  <si>
    <t>C1</t>
  </si>
  <si>
    <t>C2</t>
  </si>
  <si>
    <t>DATE</t>
  </si>
  <si>
    <t>PRODUCT</t>
  </si>
  <si>
    <t>CUSTOMER</t>
  </si>
  <si>
    <t>SALES</t>
  </si>
  <si>
    <t>D</t>
  </si>
  <si>
    <t>C3</t>
  </si>
  <si>
    <t>COLUMN</t>
  </si>
  <si>
    <t>VALUE</t>
  </si>
  <si>
    <t>DATE1</t>
  </si>
  <si>
    <t>DATE2</t>
  </si>
  <si>
    <t>DATE3</t>
  </si>
  <si>
    <t>DATE4</t>
  </si>
  <si>
    <t>DATE5</t>
  </si>
  <si>
    <t>PRODUCT 1</t>
  </si>
  <si>
    <t>PRODUCT 2</t>
  </si>
  <si>
    <t>PRODUCT 3</t>
  </si>
  <si>
    <t>PRODUCT 4</t>
  </si>
  <si>
    <t>PRODUCT 5</t>
  </si>
  <si>
    <t>Customer 1</t>
  </si>
  <si>
    <t>Customer 2</t>
  </si>
  <si>
    <t>Customer 3</t>
  </si>
  <si>
    <t>Customer 4</t>
  </si>
  <si>
    <t>Customer 5</t>
  </si>
  <si>
    <t>SALES 1</t>
  </si>
  <si>
    <t>SALES 2</t>
  </si>
  <si>
    <t>SALES 3</t>
  </si>
  <si>
    <t>SALES 4</t>
  </si>
  <si>
    <t>SALES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</si>
</sst>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5" borderId="4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 vertical="center"/>
    </xf>
    <xf numFmtId="14" fontId="2" fillId="6" borderId="7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 vertical="center" shrinkToFit="1"/>
    </xf>
    <xf numFmtId="14" fontId="2" fillId="6" borderId="4" xfId="0" applyNumberFormat="1" applyFont="1" applyFill="1" applyBorder="1" applyAlignment="1">
      <alignment horizontal="center" vertical="center" wrapText="1" shrinkToFit="1"/>
    </xf>
    <xf numFmtId="14" fontId="2" fillId="6" borderId="4" xfId="0" applyNumberFormat="1" applyFont="1" applyFill="1" applyBorder="1" applyAlignment="1">
      <alignment horizontal="center" vertical="center" shrinkToFit="1"/>
    </xf>
    <xf numFmtId="14" fontId="2" fillId="4" borderId="4" xfId="0" applyNumberFormat="1" applyFont="1" applyFill="1" applyBorder="1" applyAlignment="1">
      <alignment horizontal="center" vertical="center" shrinkToFit="1"/>
    </xf>
    <xf numFmtId="4" fontId="2" fillId="5" borderId="4" xfId="0" applyNumberFormat="1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2">
    <cellStyle name="Hiperłącze" xfId="1" builtinId="8"/>
    <cellStyle name="Normalny" xfId="0" builtinId="0"/>
  </cellStyles>
  <dxfs count="10">
    <dxf>
      <numFmt numFmtId="0" formatCode="General"/>
    </dxf>
    <dxf>
      <numFmt numFmtId="0" formatCode="General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tyles" Target="styles.xml"/><Relationship Id="rId15" Type="http://schemas.openxmlformats.org/officeDocument/2006/relationships/customXml" Target="../customXml/item1.xml"/><Relationship Id="rId10" Type="http://schemas.microsoft.com/office/2017/06/relationships/richStyles" Target="richData/richStyles.xml"/><Relationship Id="rId4" Type="http://schemas.openxmlformats.org/officeDocument/2006/relationships/connections" Target="connections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Sales</a:t>
            </a:r>
            <a:r>
              <a:rPr lang="pl-PL" baseline="0"/>
              <a:t> on specific dates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'415'!$E$4:$E$8</c:f>
              <c:numCache>
                <c:formatCode>m/d/yyyy</c:formatCode>
                <c:ptCount val="5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</c:numCache>
            </c:numRef>
          </c:cat>
          <c:val>
            <c:numRef>
              <c:f>'415'!$H$4:$H$8</c:f>
              <c:numCache>
                <c:formatCode>General</c:formatCode>
                <c:ptCount val="5"/>
                <c:pt idx="0">
                  <c:v>66</c:v>
                </c:pt>
                <c:pt idx="1">
                  <c:v>63</c:v>
                </c:pt>
                <c:pt idx="2">
                  <c:v>49</c:v>
                </c:pt>
                <c:pt idx="3">
                  <c:v>92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B-47DE-992D-73C2D999B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131456"/>
        <c:axId val="1006216687"/>
      </c:barChart>
      <c:dateAx>
        <c:axId val="501131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06216687"/>
        <c:crosses val="autoZero"/>
        <c:auto val="1"/>
        <c:lblOffset val="100"/>
        <c:baseTimeUnit val="days"/>
      </c:dateAx>
      <c:valAx>
        <c:axId val="100621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113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169395</xdr:colOff>
      <xdr:row>8</xdr:row>
      <xdr:rowOff>163096</xdr:rowOff>
    </xdr:from>
    <xdr:to>
      <xdr:col>8</xdr:col>
      <xdr:colOff>323850</xdr:colOff>
      <xdr:row>27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2264895" y="2029996"/>
          <a:ext cx="4297830" cy="3504029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415: 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pPr marL="0" indent="0" algn="ctr"/>
          <a:endParaRPr lang="en-AU" sz="1600" b="1">
            <a:solidFill>
              <a:srgbClr val="FFFF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“INDEXed Column Values” Table into Row-Based Result Table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Task: The question table has column titles as rows (DATE1, DATE2…, PRODUCT 1, PRODUCT 2…, etc.) and their values in a single column.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goal is to pivot these into a normal row-based table with columns: INDEX, DATE, PRODUCT, CUSTOMER, SALES.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Each INDEX corresponds to the numbered entries in DATE, PRODUCT, etc.</a:t>
          </a:r>
        </a:p>
      </xdr:txBody>
    </xdr:sp>
    <xdr:clientData/>
  </xdr:twoCellAnchor>
  <xdr:twoCellAnchor editAs="oneCell">
    <xdr:from>
      <xdr:col>2</xdr:col>
      <xdr:colOff>2800350</xdr:colOff>
      <xdr:row>0</xdr:row>
      <xdr:rowOff>0</xdr:rowOff>
    </xdr:from>
    <xdr:to>
      <xdr:col>4</xdr:col>
      <xdr:colOff>95543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76700" y="0"/>
          <a:ext cx="390818" cy="392723"/>
        </a:xfrm>
        <a:prstGeom prst="rect">
          <a:avLst/>
        </a:prstGeom>
      </xdr:spPr>
    </xdr:pic>
    <xdr:clientData/>
  </xdr:twoCellAnchor>
  <xdr:twoCellAnchor>
    <xdr:from>
      <xdr:col>4</xdr:col>
      <xdr:colOff>206615</xdr:colOff>
      <xdr:row>0</xdr:row>
      <xdr:rowOff>46891</xdr:rowOff>
    </xdr:from>
    <xdr:to>
      <xdr:col>8</xdr:col>
      <xdr:colOff>613114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4607165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3</xdr:col>
      <xdr:colOff>134225</xdr:colOff>
      <xdr:row>8</xdr:row>
      <xdr:rowOff>31213</xdr:rowOff>
    </xdr:from>
    <xdr:to>
      <xdr:col>4</xdr:col>
      <xdr:colOff>477126</xdr:colOff>
      <xdr:row>11</xdr:row>
      <xdr:rowOff>76934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4239500" y="227911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903554</xdr:colOff>
      <xdr:row>25</xdr:row>
      <xdr:rowOff>32677</xdr:rowOff>
    </xdr:from>
    <xdr:to>
      <xdr:col>7</xdr:col>
      <xdr:colOff>589375</xdr:colOff>
      <xdr:row>26</xdr:row>
      <xdr:rowOff>144045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4256354" y="513807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4</xdr:col>
      <xdr:colOff>320623</xdr:colOff>
      <xdr:row>25</xdr:row>
      <xdr:rowOff>32677</xdr:rowOff>
    </xdr:from>
    <xdr:to>
      <xdr:col>5</xdr:col>
      <xdr:colOff>840544</xdr:colOff>
      <xdr:row>26</xdr:row>
      <xdr:rowOff>144046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2711398" y="513807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  <xdr:twoCellAnchor>
    <xdr:from>
      <xdr:col>11</xdr:col>
      <xdr:colOff>14287</xdr:colOff>
      <xdr:row>2</xdr:row>
      <xdr:rowOff>47625</xdr:rowOff>
    </xdr:from>
    <xdr:to>
      <xdr:col>18</xdr:col>
      <xdr:colOff>352425</xdr:colOff>
      <xdr:row>16</xdr:row>
      <xdr:rowOff>104775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6D6EC1D7-3D4A-8BFB-3EEA-64615A427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2BFADD-F6FF-4533-970D-3F9426D34AD5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" tableColumnId="2"/>
      <queryTableField id="3" name="CUSTOMER" tableColumnId="3"/>
      <queryTableField id="4" name="SALES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fb>46105</fb>
    <v>0</v>
  </rv>
  <rv s="0">
    <fb>46106</fb>
    <v>0</v>
  </rv>
  <rv s="0">
    <fb>46107</fb>
    <v>0</v>
  </rv>
  <rv s="0">
    <fb>46108</fb>
    <v>0</v>
  </rv>
  <rv s="0">
    <fb>46109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/mm/yyyy"/>
    </x:dxf>
  </dxfs>
  <richStyles>
    <rSty dxfid="0"/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tblStart" displayName="tblStart" ref="B3:C23" totalsRowShown="0" headerRowDxfId="9" dataDxfId="7" headerRowBorderDxfId="8" tableBorderDxfId="6" totalsRowBorderDxfId="5">
  <autoFilter ref="B3:C23" xr:uid="{E4CF8740-D44D-4159-9A33-0E87A0950599}"/>
  <tableColumns count="2">
    <tableColumn id="1" xr3:uid="{E9D2B9E8-BF22-47EC-9F78-4895D7ECD803}" name="COLUMN" dataDxfId="4"/>
    <tableColumn id="2" xr3:uid="{E1C113EA-39AF-4766-80DD-37718BE3B277}" name="VALUE" dataDxfId="3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3A4D88-9E34-4131-B9D9-9610E93D6845}" name="tblSolution" displayName="tblSolution" ref="K19:N24" tableType="queryTable" totalsRowShown="0">
  <autoFilter ref="K19:N24" xr:uid="{C43A4D88-9E34-4131-B9D9-9610E93D6845}"/>
  <tableColumns count="4">
    <tableColumn id="1" xr3:uid="{FBED813D-46E4-4969-A616-6A4FBB087BF0}" uniqueName="1" name="DATE" queryTableFieldId="1" dataDxfId="2"/>
    <tableColumn id="2" xr3:uid="{00128DC2-8E5F-4119-9E89-82A65F494436}" uniqueName="2" name="PRODUCT" queryTableFieldId="2" dataDxfId="1"/>
    <tableColumn id="3" xr3:uid="{AE63BC00-4ED1-4046-984C-FA94D51E298A}" uniqueName="3" name="CUSTOMER" queryTableFieldId="3" dataDxfId="0"/>
    <tableColumn id="4" xr3:uid="{4A5804C4-B498-431F-B9DA-3C031F462E5C}" uniqueName="4" name="SALES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40"/>
  <sheetViews>
    <sheetView tabSelected="1" topLeftCell="C18" workbookViewId="0">
      <selection activeCell="O25" sqref="O25"/>
    </sheetView>
  </sheetViews>
  <sheetFormatPr defaultRowHeight="15" x14ac:dyDescent="0.25"/>
  <cols>
    <col min="1" max="1" width="2.875" customWidth="1"/>
    <col min="2" max="2" width="13.875" style="3" bestFit="1" customWidth="1"/>
    <col min="3" max="3" width="10.75" style="3" customWidth="1"/>
    <col min="4" max="4" width="3.875" style="3" customWidth="1"/>
    <col min="5" max="8" width="12.625" style="3" customWidth="1"/>
    <col min="9" max="9" width="12.625" customWidth="1"/>
    <col min="11" max="11" width="10.125" bestFit="1" customWidth="1"/>
    <col min="12" max="12" width="10.875" bestFit="1" customWidth="1"/>
    <col min="13" max="13" width="11.875" bestFit="1" customWidth="1"/>
    <col min="14" max="14" width="9.625" customWidth="1"/>
  </cols>
  <sheetData>
    <row r="1" spans="2:9" ht="35.450000000000003" customHeight="1" x14ac:dyDescent="0.25"/>
    <row r="2" spans="2:9" s="8" customFormat="1" ht="20.25" customHeight="1" x14ac:dyDescent="0.25">
      <c r="B2" s="26" t="s">
        <v>1</v>
      </c>
      <c r="C2" s="26"/>
      <c r="D2" s="3"/>
      <c r="E2" s="25" t="s">
        <v>0</v>
      </c>
      <c r="F2" s="25"/>
      <c r="G2" s="25"/>
      <c r="H2" s="25"/>
      <c r="I2" s="1"/>
    </row>
    <row r="3" spans="2:9" s="2" customFormat="1" ht="16.5" customHeight="1" x14ac:dyDescent="0.25">
      <c r="B3" s="6" t="s">
        <v>30</v>
      </c>
      <c r="C3" s="6" t="s">
        <v>31</v>
      </c>
      <c r="D3" s="3"/>
      <c r="E3" s="17" t="s">
        <v>24</v>
      </c>
      <c r="F3" s="4" t="s">
        <v>25</v>
      </c>
      <c r="G3" s="4" t="s">
        <v>26</v>
      </c>
      <c r="H3" s="5" t="s">
        <v>27</v>
      </c>
    </row>
    <row r="4" spans="2:9" s="1" customFormat="1" x14ac:dyDescent="0.25">
      <c r="B4" s="18" t="s">
        <v>32</v>
      </c>
      <c r="C4" s="21">
        <v>46105</v>
      </c>
      <c r="D4" s="3"/>
      <c r="E4" s="19">
        <v>46105</v>
      </c>
      <c r="F4" s="15" t="s">
        <v>19</v>
      </c>
      <c r="G4" s="7" t="s">
        <v>22</v>
      </c>
      <c r="H4" s="16">
        <v>66</v>
      </c>
    </row>
    <row r="5" spans="2:9" s="1" customFormat="1" x14ac:dyDescent="0.25">
      <c r="B5" s="18" t="s">
        <v>33</v>
      </c>
      <c r="C5" s="22">
        <v>46106</v>
      </c>
      <c r="D5" s="3"/>
      <c r="E5" s="19">
        <v>46106</v>
      </c>
      <c r="F5" s="15" t="s">
        <v>20</v>
      </c>
      <c r="G5" s="7" t="s">
        <v>22</v>
      </c>
      <c r="H5" s="16">
        <v>63</v>
      </c>
    </row>
    <row r="6" spans="2:9" s="1" customFormat="1" x14ac:dyDescent="0.25">
      <c r="B6" s="18" t="s">
        <v>34</v>
      </c>
      <c r="C6" s="22">
        <v>46107</v>
      </c>
      <c r="D6" s="3"/>
      <c r="E6" s="19">
        <v>46107</v>
      </c>
      <c r="F6" s="15" t="s">
        <v>19</v>
      </c>
      <c r="G6" s="7" t="s">
        <v>23</v>
      </c>
      <c r="H6" s="16">
        <v>49</v>
      </c>
    </row>
    <row r="7" spans="2:9" s="1" customFormat="1" x14ac:dyDescent="0.25">
      <c r="B7" s="18" t="s">
        <v>35</v>
      </c>
      <c r="C7" s="22">
        <v>46108</v>
      </c>
      <c r="D7" s="3"/>
      <c r="E7" s="19">
        <v>46108</v>
      </c>
      <c r="F7" s="15" t="s">
        <v>21</v>
      </c>
      <c r="G7" s="7" t="s">
        <v>22</v>
      </c>
      <c r="H7" s="16">
        <v>92</v>
      </c>
    </row>
    <row r="8" spans="2:9" s="1" customFormat="1" x14ac:dyDescent="0.25">
      <c r="B8" s="18" t="s">
        <v>36</v>
      </c>
      <c r="C8" s="22">
        <v>46109</v>
      </c>
      <c r="D8" s="3"/>
      <c r="E8" s="19">
        <v>46109</v>
      </c>
      <c r="F8" s="15" t="s">
        <v>28</v>
      </c>
      <c r="G8" s="7" t="s">
        <v>29</v>
      </c>
      <c r="H8" s="16">
        <v>61</v>
      </c>
    </row>
    <row r="9" spans="2:9" s="1" customFormat="1" x14ac:dyDescent="0.25">
      <c r="B9" s="18" t="s">
        <v>37</v>
      </c>
      <c r="C9" s="20" t="s">
        <v>19</v>
      </c>
      <c r="D9" s="3"/>
      <c r="E9" s="3"/>
      <c r="F9" s="3"/>
      <c r="G9" s="3"/>
      <c r="H9" s="3"/>
      <c r="I9"/>
    </row>
    <row r="10" spans="2:9" x14ac:dyDescent="0.25">
      <c r="B10" s="18" t="s">
        <v>38</v>
      </c>
      <c r="C10" s="20" t="s">
        <v>20</v>
      </c>
    </row>
    <row r="11" spans="2:9" x14ac:dyDescent="0.25">
      <c r="B11" s="18" t="s">
        <v>39</v>
      </c>
      <c r="C11" s="20" t="s">
        <v>19</v>
      </c>
    </row>
    <row r="12" spans="2:9" x14ac:dyDescent="0.25">
      <c r="B12" s="18" t="s">
        <v>40</v>
      </c>
      <c r="C12" s="20" t="s">
        <v>21</v>
      </c>
    </row>
    <row r="13" spans="2:9" x14ac:dyDescent="0.25">
      <c r="B13" s="18" t="s">
        <v>41</v>
      </c>
      <c r="C13" s="20" t="s">
        <v>28</v>
      </c>
    </row>
    <row r="14" spans="2:9" x14ac:dyDescent="0.25">
      <c r="B14" s="18" t="s">
        <v>42</v>
      </c>
      <c r="C14" s="23" t="s">
        <v>22</v>
      </c>
    </row>
    <row r="15" spans="2:9" x14ac:dyDescent="0.25">
      <c r="B15" s="18" t="s">
        <v>43</v>
      </c>
      <c r="C15" s="23" t="s">
        <v>22</v>
      </c>
    </row>
    <row r="16" spans="2:9" x14ac:dyDescent="0.25">
      <c r="B16" s="18" t="s">
        <v>44</v>
      </c>
      <c r="C16" s="23" t="s">
        <v>23</v>
      </c>
      <c r="D16"/>
    </row>
    <row r="17" spans="2:19" x14ac:dyDescent="0.25">
      <c r="B17" s="18" t="s">
        <v>45</v>
      </c>
      <c r="C17" s="23" t="s">
        <v>22</v>
      </c>
      <c r="D17"/>
    </row>
    <row r="18" spans="2:19" x14ac:dyDescent="0.25">
      <c r="B18" s="18" t="s">
        <v>46</v>
      </c>
      <c r="C18" s="23" t="s">
        <v>29</v>
      </c>
      <c r="D18"/>
    </row>
    <row r="19" spans="2:19" x14ac:dyDescent="0.25">
      <c r="B19" s="18" t="s">
        <v>47</v>
      </c>
      <c r="C19" s="24">
        <v>66</v>
      </c>
      <c r="D19"/>
      <c r="K19" t="s">
        <v>24</v>
      </c>
      <c r="L19" t="s">
        <v>25</v>
      </c>
      <c r="M19" t="s">
        <v>26</v>
      </c>
      <c r="N19" t="s">
        <v>27</v>
      </c>
      <c r="P19" t="b" cm="1">
        <f t="array" ref="P19:S24">tblSolution[#All]=E3:H8</f>
        <v>1</v>
      </c>
      <c r="Q19" t="b">
        <v>1</v>
      </c>
      <c r="R19" t="b">
        <v>1</v>
      </c>
      <c r="S19" t="b">
        <v>1</v>
      </c>
    </row>
    <row r="20" spans="2:19" x14ac:dyDescent="0.25">
      <c r="B20" s="18" t="s">
        <v>48</v>
      </c>
      <c r="C20" s="24">
        <v>63</v>
      </c>
      <c r="D20"/>
      <c r="K20" s="27">
        <v>46105</v>
      </c>
      <c r="L20" s="28" t="s">
        <v>19</v>
      </c>
      <c r="M20" s="28" t="s">
        <v>22</v>
      </c>
      <c r="N20">
        <v>66</v>
      </c>
      <c r="P20" t="b">
        <v>1</v>
      </c>
      <c r="Q20" t="b">
        <v>1</v>
      </c>
      <c r="R20" t="b">
        <v>1</v>
      </c>
      <c r="S20" t="b">
        <v>1</v>
      </c>
    </row>
    <row r="21" spans="2:19" x14ac:dyDescent="0.25">
      <c r="B21" s="18" t="s">
        <v>49</v>
      </c>
      <c r="C21" s="24">
        <v>49</v>
      </c>
      <c r="D21"/>
      <c r="F21"/>
      <c r="G21"/>
      <c r="K21" s="27">
        <v>46106</v>
      </c>
      <c r="L21" s="28" t="s">
        <v>20</v>
      </c>
      <c r="M21" s="28" t="s">
        <v>22</v>
      </c>
      <c r="N21">
        <v>63</v>
      </c>
      <c r="P21" t="b">
        <v>1</v>
      </c>
      <c r="Q21" t="b">
        <v>1</v>
      </c>
      <c r="R21" t="b">
        <v>1</v>
      </c>
      <c r="S21" t="b">
        <v>1</v>
      </c>
    </row>
    <row r="22" spans="2:19" x14ac:dyDescent="0.25">
      <c r="B22" s="18" t="s">
        <v>50</v>
      </c>
      <c r="C22" s="24">
        <v>92</v>
      </c>
      <c r="D22"/>
      <c r="K22" s="27">
        <v>46107</v>
      </c>
      <c r="L22" s="28" t="s">
        <v>19</v>
      </c>
      <c r="M22" s="28" t="s">
        <v>23</v>
      </c>
      <c r="N22">
        <v>49</v>
      </c>
      <c r="P22" t="b">
        <v>1</v>
      </c>
      <c r="Q22" t="b">
        <v>1</v>
      </c>
      <c r="R22" t="b">
        <v>1</v>
      </c>
      <c r="S22" t="b">
        <v>1</v>
      </c>
    </row>
    <row r="23" spans="2:19" x14ac:dyDescent="0.25">
      <c r="B23" s="18" t="s">
        <v>51</v>
      </c>
      <c r="C23" s="24">
        <v>61</v>
      </c>
      <c r="D23"/>
      <c r="K23" s="27">
        <v>46108</v>
      </c>
      <c r="L23" s="28" t="s">
        <v>21</v>
      </c>
      <c r="M23" s="28" t="s">
        <v>22</v>
      </c>
      <c r="N23">
        <v>92</v>
      </c>
      <c r="P23" t="b">
        <v>1</v>
      </c>
      <c r="Q23" t="b">
        <v>1</v>
      </c>
      <c r="R23" t="b">
        <v>1</v>
      </c>
      <c r="S23" t="b">
        <v>1</v>
      </c>
    </row>
    <row r="24" spans="2:19" x14ac:dyDescent="0.25">
      <c r="D24"/>
      <c r="K24" s="27">
        <v>46109</v>
      </c>
      <c r="L24" s="28" t="s">
        <v>28</v>
      </c>
      <c r="M24" s="28" t="s">
        <v>29</v>
      </c>
      <c r="N24">
        <v>61</v>
      </c>
      <c r="P24" t="b">
        <v>1</v>
      </c>
      <c r="Q24" t="b">
        <v>1</v>
      </c>
      <c r="R24" t="b">
        <v>1</v>
      </c>
      <c r="S24" t="b">
        <v>1</v>
      </c>
    </row>
    <row r="25" spans="2:19" x14ac:dyDescent="0.25">
      <c r="D25"/>
    </row>
    <row r="26" spans="2:19" x14ac:dyDescent="0.25">
      <c r="D26"/>
      <c r="K26" s="29" t="str" cm="1">
        <f t="array" ref="K26:N31">_xlfn.LET(
_xlpm._data_, tblStart[],
_xlpm._n_, 5,
_xlpm._cols_, _xlfn.TOROW(_xlfn.UNIQUE(_xlfn.REGEXEXTRACT(UPPER(_xlfn.CHOOSECOLS(_xlpm._data_, 1)), "[A-Z]+", 0))),
_xlpm._vals_, _xlfn.WRAPCOLS(_xlfn.CHOOSECOLS(_xlpm._data_, 2), _xlpm._n_),
_xlpm._sol_, _xlfn.VSTACK(_xlpm._cols_, _xlpm._vals_),
_xlpm._sol_)</f>
        <v>DATE</v>
      </c>
      <c r="L26" s="29" t="str">
        <v>PRODUCT</v>
      </c>
      <c r="M26" s="29" t="str">
        <v>CUSTOMER</v>
      </c>
      <c r="N26" s="30" t="str">
        <v>SALES</v>
      </c>
      <c r="P26" t="b" cm="1">
        <f t="array" ref="P26:S31">_xlfn.ANCHORARRAY(K26)=E3:H8</f>
        <v>1</v>
      </c>
      <c r="Q26" t="b">
        <v>1</v>
      </c>
      <c r="R26" t="b">
        <v>1</v>
      </c>
      <c r="S26" t="b">
        <v>1</v>
      </c>
    </row>
    <row r="27" spans="2:19" x14ac:dyDescent="0.25">
      <c r="D27"/>
      <c r="K27" s="27">
        <v>46105</v>
      </c>
      <c r="L27" t="str">
        <v>A</v>
      </c>
      <c r="M27" t="str">
        <v>C1</v>
      </c>
      <c r="N27" s="30">
        <v>66</v>
      </c>
      <c r="P27" t="b">
        <v>1</v>
      </c>
      <c r="Q27" t="b">
        <v>1</v>
      </c>
      <c r="R27" t="b">
        <v>1</v>
      </c>
      <c r="S27" t="b">
        <v>1</v>
      </c>
    </row>
    <row r="28" spans="2:19" x14ac:dyDescent="0.25">
      <c r="D28"/>
      <c r="K28" s="27">
        <v>46106</v>
      </c>
      <c r="L28" t="str">
        <v>B</v>
      </c>
      <c r="M28" t="str">
        <v>C1</v>
      </c>
      <c r="N28" s="30">
        <v>63</v>
      </c>
      <c r="P28" t="b">
        <v>1</v>
      </c>
      <c r="Q28" t="b">
        <v>1</v>
      </c>
      <c r="R28" t="b">
        <v>1</v>
      </c>
      <c r="S28" t="b">
        <v>1</v>
      </c>
    </row>
    <row r="29" spans="2:19" x14ac:dyDescent="0.25">
      <c r="D29"/>
      <c r="K29" s="27">
        <v>46107</v>
      </c>
      <c r="L29" t="str">
        <v>A</v>
      </c>
      <c r="M29" t="str">
        <v>C2</v>
      </c>
      <c r="N29" s="30">
        <v>49</v>
      </c>
      <c r="P29" t="b">
        <v>1</v>
      </c>
      <c r="Q29" t="b">
        <v>1</v>
      </c>
      <c r="R29" t="b">
        <v>1</v>
      </c>
      <c r="S29" t="b">
        <v>1</v>
      </c>
    </row>
    <row r="30" spans="2:19" x14ac:dyDescent="0.25">
      <c r="D30"/>
      <c r="K30" s="27">
        <v>46108</v>
      </c>
      <c r="L30" t="str">
        <v>C</v>
      </c>
      <c r="M30" t="str">
        <v>C1</v>
      </c>
      <c r="N30" s="30">
        <v>92</v>
      </c>
      <c r="P30" t="b">
        <v>1</v>
      </c>
      <c r="Q30" t="b">
        <v>1</v>
      </c>
      <c r="R30" t="b">
        <v>1</v>
      </c>
      <c r="S30" t="b">
        <v>1</v>
      </c>
    </row>
    <row r="31" spans="2:19" x14ac:dyDescent="0.25">
      <c r="D31"/>
      <c r="K31" s="27">
        <v>46109</v>
      </c>
      <c r="L31" t="str">
        <v>D</v>
      </c>
      <c r="M31" t="str">
        <v>C3</v>
      </c>
      <c r="N31" s="30">
        <v>61</v>
      </c>
      <c r="P31" t="b">
        <v>1</v>
      </c>
      <c r="Q31" t="b">
        <v>1</v>
      </c>
      <c r="R31" t="b">
        <v>1</v>
      </c>
      <c r="S31" t="b">
        <v>1</v>
      </c>
    </row>
    <row r="32" spans="2:19" x14ac:dyDescent="0.25">
      <c r="D32"/>
    </row>
    <row r="33" spans="4:19" x14ac:dyDescent="0.25">
      <c r="D33"/>
      <c r="K33" t="str" cm="1">
        <f t="array" ref="K33:N38">_xlfn._xlws.PY(0,0,B3:C23)</f>
        <v>DATE</v>
      </c>
      <c r="L33" t="str">
        <v>PRODUCT</v>
      </c>
      <c r="M33" t="str">
        <v>CUSTOMER</v>
      </c>
      <c r="N33" t="str">
        <v>SALES</v>
      </c>
      <c r="P33" t="b" cm="1">
        <f t="array" ref="P33:S38">_xlfn.ANCHORARRAY(K33)=E3:H8</f>
        <v>1</v>
      </c>
      <c r="Q33" t="b">
        <v>1</v>
      </c>
      <c r="R33" t="b">
        <v>1</v>
      </c>
      <c r="S33" t="b">
        <v>1</v>
      </c>
    </row>
    <row r="34" spans="4:19" x14ac:dyDescent="0.25">
      <c r="D34"/>
      <c r="K34" vm="1">
        <v>46105</v>
      </c>
      <c r="L34" t="str">
        <v>A</v>
      </c>
      <c r="M34" t="str">
        <v>C1</v>
      </c>
      <c r="N34">
        <v>66</v>
      </c>
      <c r="P34" t="b">
        <v>1</v>
      </c>
      <c r="Q34" t="b">
        <v>1</v>
      </c>
      <c r="R34" t="b">
        <v>1</v>
      </c>
      <c r="S34" t="b">
        <v>1</v>
      </c>
    </row>
    <row r="35" spans="4:19" x14ac:dyDescent="0.25">
      <c r="D35"/>
      <c r="K35" vm="2">
        <v>46106</v>
      </c>
      <c r="L35" t="str">
        <v>B</v>
      </c>
      <c r="M35" t="str">
        <v>C1</v>
      </c>
      <c r="N35">
        <v>63</v>
      </c>
      <c r="P35" t="b">
        <v>1</v>
      </c>
      <c r="Q35" t="b">
        <v>1</v>
      </c>
      <c r="R35" t="b">
        <v>1</v>
      </c>
      <c r="S35" t="b">
        <v>1</v>
      </c>
    </row>
    <row r="36" spans="4:19" x14ac:dyDescent="0.25">
      <c r="D36"/>
      <c r="K36" vm="3">
        <v>46107</v>
      </c>
      <c r="L36" t="str">
        <v>A</v>
      </c>
      <c r="M36" t="str">
        <v>C2</v>
      </c>
      <c r="N36">
        <v>49</v>
      </c>
      <c r="P36" t="b">
        <v>1</v>
      </c>
      <c r="Q36" t="b">
        <v>1</v>
      </c>
      <c r="R36" t="b">
        <v>1</v>
      </c>
      <c r="S36" t="b">
        <v>1</v>
      </c>
    </row>
    <row r="37" spans="4:19" x14ac:dyDescent="0.25">
      <c r="D37"/>
      <c r="K37" vm="4">
        <v>46108</v>
      </c>
      <c r="L37" t="str">
        <v>C</v>
      </c>
      <c r="M37" t="str">
        <v>C1</v>
      </c>
      <c r="N37">
        <v>92</v>
      </c>
      <c r="P37" t="b">
        <v>1</v>
      </c>
      <c r="Q37" t="b">
        <v>1</v>
      </c>
      <c r="R37" t="b">
        <v>1</v>
      </c>
      <c r="S37" t="b">
        <v>1</v>
      </c>
    </row>
    <row r="38" spans="4:19" x14ac:dyDescent="0.25">
      <c r="D38"/>
      <c r="K38" vm="5">
        <v>46109</v>
      </c>
      <c r="L38" t="str">
        <v>D</v>
      </c>
      <c r="M38" t="str">
        <v>C3</v>
      </c>
      <c r="N38">
        <v>61</v>
      </c>
      <c r="P38" t="b">
        <v>1</v>
      </c>
      <c r="Q38" t="b">
        <v>1</v>
      </c>
      <c r="R38" t="b">
        <v>1</v>
      </c>
      <c r="S38" t="b">
        <v>1</v>
      </c>
    </row>
    <row r="39" spans="4:19" x14ac:dyDescent="0.25">
      <c r="D39"/>
    </row>
    <row r="40" spans="4:19" x14ac:dyDescent="0.25">
      <c r="D40"/>
    </row>
  </sheetData>
  <sortState xmlns:xlrd2="http://schemas.microsoft.com/office/spreadsheetml/2017/richdata2" ref="E4:I8">
    <sortCondition ref="F5:F8"/>
  </sortState>
  <mergeCells count="2">
    <mergeCell ref="E2:H2"/>
    <mergeCell ref="B2:C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2</v>
      </c>
      <c r="B1" s="1"/>
    </row>
    <row r="2" spans="1:2" ht="37.5" x14ac:dyDescent="0.25">
      <c r="A2" s="10" t="s">
        <v>3</v>
      </c>
      <c r="B2" s="1"/>
    </row>
    <row r="3" spans="1:2" ht="20.25" x14ac:dyDescent="0.3">
      <c r="A3" s="10" t="s">
        <v>4</v>
      </c>
      <c r="B3" s="11" t="s">
        <v>5</v>
      </c>
    </row>
    <row r="4" spans="1:2" ht="37.5" x14ac:dyDescent="0.25">
      <c r="A4" s="12" t="s">
        <v>6</v>
      </c>
      <c r="B4" s="1"/>
    </row>
    <row r="5" spans="1:2" ht="18.75" x14ac:dyDescent="0.25">
      <c r="A5" s="12" t="s">
        <v>7</v>
      </c>
      <c r="B5" s="1"/>
    </row>
    <row r="6" spans="1:2" ht="37.5" x14ac:dyDescent="0.25">
      <c r="A6" s="12" t="s">
        <v>8</v>
      </c>
      <c r="B6" s="1"/>
    </row>
    <row r="7" spans="1:2" ht="22.5" x14ac:dyDescent="0.25">
      <c r="A7" s="9" t="s">
        <v>9</v>
      </c>
      <c r="B7" s="1"/>
    </row>
    <row r="8" spans="1:2" ht="18.75" x14ac:dyDescent="0.25">
      <c r="A8" s="12" t="s">
        <v>10</v>
      </c>
      <c r="B8" s="1"/>
    </row>
    <row r="9" spans="1:2" ht="18.75" x14ac:dyDescent="0.25">
      <c r="A9" s="13" t="s">
        <v>11</v>
      </c>
      <c r="B9" s="1"/>
    </row>
    <row r="10" spans="1:2" ht="18.75" x14ac:dyDescent="0.25">
      <c r="A10" s="13" t="s">
        <v>12</v>
      </c>
      <c r="B10" s="1"/>
    </row>
    <row r="11" spans="1:2" ht="22.5" x14ac:dyDescent="0.25">
      <c r="A11" s="9" t="s">
        <v>13</v>
      </c>
      <c r="B11" s="1"/>
    </row>
    <row r="12" spans="1:2" ht="37.5" x14ac:dyDescent="0.25">
      <c r="A12" s="12" t="s">
        <v>14</v>
      </c>
      <c r="B12" s="1"/>
    </row>
    <row r="13" spans="1:2" ht="18.75" x14ac:dyDescent="0.3">
      <c r="A13" s="13" t="s">
        <v>15</v>
      </c>
      <c r="B13" s="14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3" t="s">
        <v>16</v>
      </c>
      <c r="B14" s="1"/>
    </row>
    <row r="15" spans="1:2" ht="22.5" x14ac:dyDescent="0.25">
      <c r="A15" s="9" t="s">
        <v>17</v>
      </c>
      <c r="B15" s="1"/>
    </row>
    <row r="16" spans="1:2" ht="37.5" x14ac:dyDescent="0.25">
      <c r="A16" s="12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415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2026-05-22T19:51:35Z</dcterms:modified>
</cp:coreProperties>
</file>