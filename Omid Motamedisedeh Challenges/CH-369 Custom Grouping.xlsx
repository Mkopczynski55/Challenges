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45" documentId="13_ncr:1_{60934B17-7E52-4727-B490-10B2D6B8B254}" xr6:coauthVersionLast="47" xr6:coauthVersionMax="47" xr10:uidLastSave="{641169BD-821D-4F01-BE34-CAA1B0D64030}"/>
  <bookViews>
    <workbookView xWindow="-120" yWindow="-120" windowWidth="29040" windowHeight="15720" xr2:uid="{00000000-000D-0000-FFFF-FFFF00000000}"/>
  </bookViews>
  <sheets>
    <sheet name="369" sheetId="1" r:id="rId1"/>
    <sheet name="README" sheetId="2" r:id="rId2"/>
  </sheets>
  <definedNames>
    <definedName name="_xlnm._FilterDatabase" localSheetId="0" hidden="1">'369'!$B$3:$C$20</definedName>
    <definedName name="_solution_">Table133[#All]</definedName>
    <definedName name="ExternalData_1" localSheetId="0" hidden="1">'369'!$O$3:$P$5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 a="1"/>
  <c r="L3" i="1" s="1"/>
  <c r="R9" i="1" a="1"/>
  <c r="R9" i="1" s="1"/>
  <c r="R3" i="1" a="1"/>
  <c r="R3" i="1" s="1"/>
  <c r="O9" i="1" a="1"/>
  <c r="O9" i="1" s="1"/>
  <c r="B13" i="2"/>
  <c r="L9" i="1" l="1" a="1"/>
  <c r="L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74A49E-2E45-4243-8165-DBA2B60304FA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import math
df = xl(%P2%, headers = True)
rCount = df.shape[0]
isOdd = rCount %% 2 != 0
mRow = math.ceil(rCount / 2)
stopFirst = (mRow - 1) if isOdd else mRow
startSecond = mRow
firstGroup = df[0:stopFirst]
secondGroup = df[startSecond:]
firstGroupTotal = firstGroup["Total Sales"].sum()
secondGroupTotal = secondGroup["Total Sales"].sum()
check = firstGroupTotal &gt; secondGroupTotal
groups = ["Group 1", "Group 2"]
if isOdd:
    if check:
        res = [firstGroupTotal, secondGroupTotal + df["Total Sales"].iloc[mRow - 1]]
    else:
        res = [firstGroupTotal + df["Total Sales"].iloc[mRow - 1], secondGroupTotal]
else:
    res = [firstGroupTotal, secondGroupTotal]
res_df = pd.DataFrame({
    "IDs": groups,
    "Sales": res
    })
res_df
</code>
    </pythonScript>
  </pythonScripts>
</python>
</file>

<file path=xl/sharedStrings.xml><?xml version="1.0" encoding="utf-8"?>
<sst xmlns="http://schemas.openxmlformats.org/spreadsheetml/2006/main" count="49" uniqueCount="43">
  <si>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</si>
  <si>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</si>
  <si>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</si>
  <si>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</si>
  <si>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</si>
  <si>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</si>
  <si>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</si>
  <si>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</si>
  <si>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</si>
  <si>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</si>
  <si>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</si>
  <si>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</si>
  <si>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</si>
  <si>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</si>
  <si>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</si>
  <si>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</si>
  <si>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</si>
  <si>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</si>
  <si>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</si>
  <si>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Sales</t>
  </si>
  <si>
    <t>IDs</t>
  </si>
  <si>
    <t>Date</t>
  </si>
  <si>
    <t>Product ID</t>
  </si>
  <si>
    <t>Customer ID</t>
  </si>
  <si>
    <t>Total Sales</t>
  </si>
  <si>
    <t>XNM-12</t>
  </si>
  <si>
    <t>C-12</t>
  </si>
  <si>
    <t>XNM-13</t>
  </si>
  <si>
    <t>C-13</t>
  </si>
  <si>
    <t>XNM-07</t>
  </si>
  <si>
    <t>XNM-01</t>
  </si>
  <si>
    <t>C-16</t>
  </si>
  <si>
    <t>XNM-22</t>
  </si>
  <si>
    <t>XNM-14</t>
  </si>
  <si>
    <t>C-18</t>
  </si>
  <si>
    <t>Group 1</t>
  </si>
  <si>
    <t>Group 2</t>
  </si>
  <si>
    <t>Excel Solution</t>
  </si>
  <si>
    <t>Power Query Solution</t>
  </si>
  <si>
    <t>Python Solution</t>
  </si>
  <si>
    <t>Excel Check</t>
  </si>
  <si>
    <t>Power Query Check</t>
  </si>
  <si>
    <t>Python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</si>
</sst>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1"/>
      <scheme val="minor"/>
    </font>
    <font>
      <b/>
      <sz val="11"/>
      <color theme="0"/>
      <name val="Calibri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alibri"/>
      <family val="2"/>
      <scheme val="minor"/>
    </font>
    <font>
      <b/>
      <u/>
      <sz val="16"/>
      <color rgb="FF0070C0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2" xfId="0" applyFont="1" applyFill="1" applyBorder="1" applyAlignment="1">
      <alignment horizontal="center"/>
    </xf>
    <xf numFmtId="14" fontId="5" fillId="4" borderId="6" xfId="0" applyNumberFormat="1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4" fontId="2" fillId="2" borderId="0" xfId="0" applyNumberFormat="1" applyFont="1" applyFill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4" fontId="2" fillId="5" borderId="2" xfId="0" applyNumberFormat="1" applyFont="1" applyFill="1" applyBorder="1" applyAlignment="1">
      <alignment horizontal="center"/>
    </xf>
    <xf numFmtId="4" fontId="2" fillId="5" borderId="0" xfId="0" applyNumberFormat="1" applyFont="1" applyFill="1" applyAlignment="1">
      <alignment horizontal="center"/>
    </xf>
    <xf numFmtId="4" fontId="2" fillId="5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center"/>
    </xf>
    <xf numFmtId="4" fontId="2" fillId="2" borderId="9" xfId="0" applyNumberFormat="1" applyFont="1" applyFill="1" applyBorder="1" applyAlignment="1">
      <alignment horizontal="center"/>
    </xf>
    <xf numFmtId="0" fontId="0" fillId="2" borderId="0" xfId="0" applyFill="1"/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Hiperłącze" xfId="1" builtinId="8"/>
    <cellStyle name="Normalny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B6177362-6EBA-4E55-81C2-B38FF05AA4B0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23/09/relationships/Python" Target="python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79132</xdr:colOff>
      <xdr:row>13</xdr:row>
      <xdr:rowOff>43959</xdr:rowOff>
    </xdr:from>
    <xdr:to>
      <xdr:col>5</xdr:col>
      <xdr:colOff>637441</xdr:colOff>
      <xdr:row>24</xdr:row>
      <xdr:rowOff>51288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79132" y="2425209"/>
          <a:ext cx="3320559" cy="2102829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369:</a:t>
          </a:r>
        </a:p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Custom</a:t>
          </a:r>
          <a:r>
            <a:rPr lang="en-AU" sz="1600" b="1" baseline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Grouping</a:t>
          </a:r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Group the rows in the question table into two sets from midle, and allocate the middle row to the group with the lower total sales.</a:t>
          </a:r>
        </a:p>
      </xdr:txBody>
    </xdr:sp>
    <xdr:clientData/>
  </xdr:twoCellAnchor>
  <xdr:twoCellAnchor editAs="oneCell">
    <xdr:from>
      <xdr:col>1</xdr:col>
      <xdr:colOff>192698</xdr:colOff>
      <xdr:row>0</xdr:row>
      <xdr:rowOff>0</xdr:rowOff>
    </xdr:from>
    <xdr:to>
      <xdr:col>1</xdr:col>
      <xdr:colOff>583956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5179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537795</xdr:colOff>
      <xdr:row>0</xdr:row>
      <xdr:rowOff>46891</xdr:rowOff>
    </xdr:from>
    <xdr:to>
      <xdr:col>7</xdr:col>
      <xdr:colOff>586154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750276" y="46891"/>
          <a:ext cx="3653205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43962</xdr:colOff>
      <xdr:row>12</xdr:row>
      <xdr:rowOff>87923</xdr:rowOff>
    </xdr:from>
    <xdr:to>
      <xdr:col>1</xdr:col>
      <xdr:colOff>455440</xdr:colOff>
      <xdr:row>16</xdr:row>
      <xdr:rowOff>9965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43962" y="2278673"/>
          <a:ext cx="623959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391259</xdr:colOff>
      <xdr:row>21</xdr:row>
      <xdr:rowOff>49821</xdr:rowOff>
    </xdr:from>
    <xdr:to>
      <xdr:col>5</xdr:col>
      <xdr:colOff>420566</xdr:colOff>
      <xdr:row>22</xdr:row>
      <xdr:rowOff>175843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025163" y="4314090"/>
          <a:ext cx="1560634" cy="316522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298938</xdr:colOff>
      <xdr:row>21</xdr:row>
      <xdr:rowOff>49821</xdr:rowOff>
    </xdr:from>
    <xdr:to>
      <xdr:col>3</xdr:col>
      <xdr:colOff>328249</xdr:colOff>
      <xdr:row>22</xdr:row>
      <xdr:rowOff>175844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511419" y="4314090"/>
          <a:ext cx="1450734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  <xdr:twoCellAnchor>
    <xdr:from>
      <xdr:col>5</xdr:col>
      <xdr:colOff>25166</xdr:colOff>
      <xdr:row>4</xdr:row>
      <xdr:rowOff>32804</xdr:rowOff>
    </xdr:from>
    <xdr:to>
      <xdr:col>5</xdr:col>
      <xdr:colOff>369531</xdr:colOff>
      <xdr:row>6</xdr:row>
      <xdr:rowOff>0</xdr:rowOff>
    </xdr:to>
    <xdr:sp macro="" textlink="">
      <xdr:nvSpPr>
        <xdr:cNvPr id="2" name="Arrow: Curved Up 1">
          <a:extLst>
            <a:ext uri="{FF2B5EF4-FFF2-40B4-BE49-F238E27FC236}">
              <a16:creationId xmlns:a16="http://schemas.microsoft.com/office/drawing/2014/main" id="{F59BEE0D-D0AC-30E9-7140-6FA98B4FF609}"/>
            </a:ext>
          </a:extLst>
        </xdr:cNvPr>
        <xdr:cNvSpPr/>
      </xdr:nvSpPr>
      <xdr:spPr>
        <a:xfrm rot="16352532">
          <a:off x="2946740" y="1177672"/>
          <a:ext cx="538602" cy="344365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chemeClr val="tx1"/>
            </a:solidFill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CB38C2-BA5E-44BA-8F97-B0AFC4329DCF}" autoFormatId="16" applyNumberFormats="0" applyBorderFormats="0" applyFontFormats="0" applyPatternFormats="0" applyAlignmentFormats="0" applyWidthHeightFormats="0">
  <queryTableRefresh nextId="3">
    <queryTableFields count="2">
      <queryTableField id="1" name="IDs" tableColumnId="1"/>
      <queryTableField id="2" name="Sales" tableColumnId="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H3:I5" totalsRowShown="0" headerRowDxfId="16" headerRowBorderDxfId="15">
  <tableColumns count="2">
    <tableColumn id="1" xr3:uid="{859A4C71-8B90-4008-BBEF-3E70F7E3CFF0}" name="IDs" dataDxfId="14"/>
    <tableColumn id="2" xr3:uid="{B8FDAD0C-F884-41BC-9E76-6A9E5F74F486}" name="Sales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blStart" displayName="tblStart" ref="B3:E10" totalsRowShown="0" headerRowDxfId="12" dataDxfId="10" headerRowBorderDxfId="11" tableBorderDxfId="9" totalsRowBorderDxfId="8">
  <tableColumns count="4">
    <tableColumn id="1" xr3:uid="{55ED431F-4AD8-4DF7-85D4-88FC916290AF}" name="Date" dataDxfId="7"/>
    <tableColumn id="2" xr3:uid="{A89A44AC-9388-4C39-94E1-A5BC35177B98}" name="Product ID" dataDxfId="6"/>
    <tableColumn id="3" xr3:uid="{0BAA9E18-0B6C-45F7-B943-33CEE0BADF89}" name="Customer ID" dataDxfId="5"/>
    <tableColumn id="4" xr3:uid="{1B0C0301-EBB5-4D85-A2CB-B9D30E86BAC8}" name="Total Sales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60DBC9-FAA2-4660-AFE5-B78296406C6A}" name="tblSolution" displayName="tblSolution" ref="O3:P5" tableType="queryTable" totalsRowShown="0" headerRowDxfId="3" dataDxfId="2">
  <autoFilter ref="O3:P5" xr:uid="{E960DBC9-FAA2-4660-AFE5-B78296406C6A}"/>
  <tableColumns count="2">
    <tableColumn id="1" xr3:uid="{2DE1C5F8-2F72-42FA-81C9-4EBD9606519E}" uniqueName="1" name="IDs" queryTableFieldId="1" dataDxfId="1"/>
    <tableColumn id="2" xr3:uid="{9DDC0D8E-9D50-4E9F-A222-9C5A57EDF751}" uniqueName="2" name="Sales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showGridLines="0" tabSelected="1" topLeftCell="F1" zoomScale="130" zoomScaleNormal="130" workbookViewId="0">
      <selection activeCell="L4" sqref="L4"/>
    </sheetView>
  </sheetViews>
  <sheetFormatPr defaultRowHeight="15" x14ac:dyDescent="0.25"/>
  <cols>
    <col min="1" max="1" width="3.140625" customWidth="1"/>
    <col min="2" max="2" width="11.7109375" style="3" customWidth="1"/>
    <col min="3" max="3" width="9.5703125" customWidth="1"/>
    <col min="4" max="4" width="13.42578125" bestFit="1" customWidth="1"/>
    <col min="5" max="5" width="9.5703125" customWidth="1"/>
    <col min="6" max="6" width="11.140625" customWidth="1"/>
    <col min="7" max="7" width="4.7109375" customWidth="1"/>
    <col min="8" max="8" width="15.85546875" style="4" customWidth="1"/>
    <col min="12" max="13" width="10.42578125" bestFit="1" customWidth="1"/>
    <col min="15" max="16" width="10.42578125" bestFit="1" customWidth="1"/>
    <col min="18" max="19" width="10.42578125" bestFit="1" customWidth="1"/>
  </cols>
  <sheetData>
    <row r="1" spans="1:19" ht="30.6" customHeight="1" x14ac:dyDescent="0.25"/>
    <row r="2" spans="1:19" s="5" customFormat="1" ht="22.5" customHeight="1" x14ac:dyDescent="0.25">
      <c r="B2" s="31" t="s">
        <v>0</v>
      </c>
      <c r="C2" s="32"/>
      <c r="D2" s="32"/>
      <c r="E2" s="32"/>
      <c r="F2"/>
      <c r="H2" s="29" t="s">
        <v>1</v>
      </c>
      <c r="I2" s="30"/>
      <c r="L2" s="5" t="s">
        <v>37</v>
      </c>
      <c r="O2" s="5" t="s">
        <v>38</v>
      </c>
      <c r="R2" s="5" t="s">
        <v>39</v>
      </c>
    </row>
    <row r="3" spans="1:19" s="2" customFormat="1" x14ac:dyDescent="0.25">
      <c r="B3" s="15" t="s">
        <v>21</v>
      </c>
      <c r="C3" s="16" t="s">
        <v>22</v>
      </c>
      <c r="D3" s="16" t="s">
        <v>23</v>
      </c>
      <c r="E3" s="16" t="s">
        <v>24</v>
      </c>
      <c r="F3"/>
      <c r="H3" s="15" t="s">
        <v>20</v>
      </c>
      <c r="I3" s="16" t="s">
        <v>19</v>
      </c>
      <c r="L3" s="2" t="str" cm="1">
        <f t="array" ref="L3:M5">_xlfn.LET(
_xlpm._data_, tblStart[],
_xlpm._rCount_, ROWS(_xlpm._data_),
_xlpm._midRow_, ROUNDUP(_xlpm._rCount_ / 2, 0),
_xlpm._firstGroup_, _xlfn.TAKE(_xlpm._data_, IF(ISEVEN(_xlpm._rCount_), _xlpm._midRow_, _xlpm._midRow_ - 1)),
_xlpm._secondGroup_, _xlfn.TAKE(_xlpm._data_, IF(ISEVEN(_xlpm._rCount_),-_xlpm._midRow_, -(_xlpm._midRow_ - 1))),
_xlpm._firstGroupTotal_, SUM(_xlfn.CHOOSECOLS(_xlpm._firstGroup_, -1)),
_xlpm._secondGroupTotal_, SUM(_xlfn.CHOOSECOLS(_xlpm._secondGroup_, -1)),
_xlpm._totalCheck_, _xlpm._firstGroupTotal_ &gt; _xlpm._secondGroupTotal_,
_xlpm._odd_, ISODD(_xlpm._rCount_),
_xlpm._headers_, {"IDs","Sales"},
_xlpm._ids_, {"Group 1";"Group 2"},
_xlpm._sales_, IF(_xlpm._odd_, IF(_xlpm._totalCheck_, _xlfn.VSTACK(_xlpm._firstGroupTotal_, _xlpm._secondGroupTotal_ + _xlfn.CHOOSECOLS(_xlfn.CHOOSEROWS(_xlpm._data_, _xlpm._midRow_), -1)), _xlfn.VSTACK(_xlpm._firstGroupTotal_ + _xlfn.CHOOSECOLS(_xlfn.CHOOSEROWS(_xlpm._data_, _xlpm._midRow_), -1), _xlpm._secondGroupTotal_)), _xlfn.VSTACK(_xlpm._firstGroupTotal_, _xlpm._secondGroupTotal_)),
_xlpm._res_, _xlfn.VSTACK(_xlpm._headers_, _xlfn.HSTACK(_xlpm._ids_, _xlpm._sales_)),
_xlpm._res_)</f>
        <v>IDs</v>
      </c>
      <c r="M3" s="2" t="str">
        <v>Sales</v>
      </c>
      <c r="O3" s="2" t="s">
        <v>20</v>
      </c>
      <c r="P3" s="2" t="s">
        <v>19</v>
      </c>
      <c r="R3" s="2" t="str" cm="1">
        <f t="array" ref="R3:S5">_xlfn._xlws.PY(0,0,B3:E10)</f>
        <v>IDs</v>
      </c>
      <c r="S3" s="2" t="str">
        <v>Sales</v>
      </c>
    </row>
    <row r="4" spans="1:19" s="2" customFormat="1" x14ac:dyDescent="0.25">
      <c r="B4" s="21">
        <v>45508</v>
      </c>
      <c r="C4" s="22" t="s">
        <v>25</v>
      </c>
      <c r="D4" s="23" t="s">
        <v>26</v>
      </c>
      <c r="E4" s="23">
        <v>900</v>
      </c>
      <c r="F4"/>
      <c r="H4" s="8" t="s">
        <v>35</v>
      </c>
      <c r="I4" s="18">
        <v>3500</v>
      </c>
      <c r="L4" s="2" t="str">
        <v>Group 1</v>
      </c>
      <c r="M4" s="2">
        <v>3500</v>
      </c>
      <c r="O4" s="2" t="s">
        <v>35</v>
      </c>
      <c r="P4">
        <v>3500</v>
      </c>
      <c r="R4" s="2" t="str">
        <v>Group 1</v>
      </c>
      <c r="S4" s="2">
        <v>3500</v>
      </c>
    </row>
    <row r="5" spans="1:19" s="2" customFormat="1" x14ac:dyDescent="0.25">
      <c r="B5" s="21">
        <v>45511</v>
      </c>
      <c r="C5" s="24" t="s">
        <v>27</v>
      </c>
      <c r="D5" s="23" t="s">
        <v>28</v>
      </c>
      <c r="E5" s="23">
        <v>1500</v>
      </c>
      <c r="F5"/>
      <c r="H5" s="8" t="s">
        <v>36</v>
      </c>
      <c r="I5" s="19">
        <v>3900</v>
      </c>
      <c r="L5" s="2" t="str">
        <v>Group 2</v>
      </c>
      <c r="M5" s="2">
        <v>3900</v>
      </c>
      <c r="O5" s="2" t="s">
        <v>36</v>
      </c>
      <c r="P5">
        <v>3900</v>
      </c>
      <c r="R5" s="2" t="str">
        <v>Group 2</v>
      </c>
      <c r="S5" s="2">
        <v>3900</v>
      </c>
    </row>
    <row r="6" spans="1:19" s="2" customFormat="1" ht="14.25" customHeight="1" x14ac:dyDescent="0.25">
      <c r="B6" s="21">
        <v>45511</v>
      </c>
      <c r="C6" s="24" t="s">
        <v>29</v>
      </c>
      <c r="D6" s="23" t="s">
        <v>28</v>
      </c>
      <c r="E6" s="23">
        <v>500</v>
      </c>
      <c r="F6"/>
      <c r="H6" s="4"/>
      <c r="I6"/>
    </row>
    <row r="7" spans="1:19" s="2" customFormat="1" ht="14.25" customHeight="1" x14ac:dyDescent="0.25">
      <c r="B7" s="21"/>
      <c r="C7" s="24"/>
      <c r="D7" s="23"/>
      <c r="E7" s="23">
        <v>600</v>
      </c>
      <c r="F7"/>
      <c r="H7" s="4"/>
      <c r="I7"/>
    </row>
    <row r="8" spans="1:19" s="2" customFormat="1" ht="14.25" customHeight="1" x14ac:dyDescent="0.25">
      <c r="B8" s="21">
        <v>45518</v>
      </c>
      <c r="C8" s="24" t="s">
        <v>30</v>
      </c>
      <c r="D8" s="23" t="s">
        <v>31</v>
      </c>
      <c r="E8" s="23">
        <v>800</v>
      </c>
      <c r="F8"/>
      <c r="H8" s="4"/>
      <c r="I8"/>
      <c r="L8" s="2" t="s">
        <v>40</v>
      </c>
      <c r="O8" s="2" t="s">
        <v>41</v>
      </c>
      <c r="R8" s="2" t="s">
        <v>42</v>
      </c>
    </row>
    <row r="9" spans="1:19" s="2" customFormat="1" x14ac:dyDescent="0.25">
      <c r="B9" s="25">
        <v>45525</v>
      </c>
      <c r="C9" s="17" t="s">
        <v>32</v>
      </c>
      <c r="D9" s="20" t="s">
        <v>28</v>
      </c>
      <c r="E9" s="20">
        <v>1400</v>
      </c>
      <c r="F9"/>
      <c r="H9" s="4"/>
      <c r="I9"/>
      <c r="L9" s="2" t="b" cm="1">
        <f t="array" ref="L9:M11">_xlfn.ANCHORARRAY(L3)=_solution_</f>
        <v>1</v>
      </c>
      <c r="M9" s="2" t="b">
        <v>1</v>
      </c>
      <c r="O9" s="2" t="b" cm="1">
        <f t="array" ref="O9:P11">tblSolution[#All]=_solution_</f>
        <v>1</v>
      </c>
      <c r="P9" s="2" t="b">
        <v>1</v>
      </c>
      <c r="R9" s="2" t="b" cm="1">
        <f t="array" ref="R9:S11">_xlfn.ANCHORARRAY(R3)=_solution_</f>
        <v>1</v>
      </c>
      <c r="S9" s="2" t="b">
        <v>1</v>
      </c>
    </row>
    <row r="10" spans="1:19" s="2" customFormat="1" x14ac:dyDescent="0.25">
      <c r="B10" s="25">
        <v>45530</v>
      </c>
      <c r="C10" s="17" t="s">
        <v>33</v>
      </c>
      <c r="D10" s="20" t="s">
        <v>34</v>
      </c>
      <c r="E10" s="20">
        <v>1700</v>
      </c>
      <c r="F10" s="6"/>
      <c r="G10"/>
      <c r="H10" s="4"/>
      <c r="I10"/>
      <c r="L10" s="2" t="b">
        <v>1</v>
      </c>
      <c r="M10" s="2" t="b">
        <v>1</v>
      </c>
      <c r="O10" s="2" t="b">
        <v>1</v>
      </c>
      <c r="P10" s="2" t="b">
        <v>1</v>
      </c>
      <c r="R10" s="2" t="b">
        <v>1</v>
      </c>
      <c r="S10" s="2" t="b">
        <v>1</v>
      </c>
    </row>
    <row r="11" spans="1:19" s="2" customFormat="1" x14ac:dyDescent="0.25">
      <c r="B11" s="26"/>
      <c r="C11" s="27"/>
      <c r="D11" s="28"/>
      <c r="E11" s="28"/>
      <c r="F11" s="7"/>
      <c r="G11"/>
      <c r="H11" s="4"/>
      <c r="I11"/>
      <c r="L11" s="2" t="b">
        <v>1</v>
      </c>
      <c r="M11" s="2" t="b">
        <v>1</v>
      </c>
      <c r="O11" s="2" t="b">
        <v>1</v>
      </c>
      <c r="P11" s="2" t="b">
        <v>1</v>
      </c>
      <c r="R11" s="2" t="b">
        <v>1</v>
      </c>
      <c r="S11" s="2" t="b">
        <v>1</v>
      </c>
    </row>
    <row r="12" spans="1:19" x14ac:dyDescent="0.25">
      <c r="A12" s="1"/>
      <c r="C12" s="6"/>
      <c r="D12" s="6"/>
      <c r="E12" s="6"/>
      <c r="F12" s="7"/>
    </row>
    <row r="13" spans="1:19" x14ac:dyDescent="0.25">
      <c r="A13" s="1"/>
      <c r="C13" s="6"/>
      <c r="D13" s="6"/>
      <c r="E13" s="6"/>
      <c r="F13" s="7"/>
    </row>
    <row r="14" spans="1:19" x14ac:dyDescent="0.25">
      <c r="A14" s="1"/>
      <c r="C14" s="6"/>
      <c r="D14" s="6"/>
      <c r="E14" s="6"/>
      <c r="F14" s="7"/>
    </row>
    <row r="15" spans="1:19" x14ac:dyDescent="0.25">
      <c r="A15" s="1"/>
      <c r="C15" s="6"/>
      <c r="D15" s="6"/>
      <c r="E15" s="6"/>
      <c r="F15" s="1"/>
    </row>
    <row r="16" spans="1:19" x14ac:dyDescent="0.25">
      <c r="A16" s="1"/>
      <c r="C16" s="6"/>
      <c r="D16" s="6"/>
      <c r="E16" s="6"/>
      <c r="F16" s="1"/>
    </row>
    <row r="17" spans="1:6" x14ac:dyDescent="0.25">
      <c r="A17" s="1"/>
      <c r="C17" s="6"/>
      <c r="D17" s="6"/>
      <c r="E17" s="6"/>
      <c r="F17" s="1"/>
    </row>
    <row r="18" spans="1:6" x14ac:dyDescent="0.25">
      <c r="A18" s="1"/>
      <c r="C18" s="6"/>
      <c r="D18" s="6"/>
      <c r="E18" s="6"/>
      <c r="F18" s="1"/>
    </row>
    <row r="19" spans="1:6" x14ac:dyDescent="0.25">
      <c r="C19" s="6"/>
      <c r="D19" s="6"/>
      <c r="E19" s="6"/>
      <c r="F19" s="1"/>
    </row>
    <row r="20" spans="1:6" x14ac:dyDescent="0.25">
      <c r="C20" s="6"/>
      <c r="D20" s="6"/>
      <c r="E20" s="6"/>
      <c r="F20" s="1"/>
    </row>
  </sheetData>
  <sortState xmlns:xlrd2="http://schemas.microsoft.com/office/spreadsheetml/2017/richdata2" ref="B4:B9">
    <sortCondition ref="B9"/>
  </sortState>
  <mergeCells count="2">
    <mergeCell ref="H2:I2"/>
    <mergeCell ref="B2:E2"/>
  </mergeCells>
  <phoneticPr fontId="1" type="noConversion"/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8515625" customWidth="1"/>
    <col min="2" max="2" width="21.85546875" customWidth="1"/>
  </cols>
  <sheetData>
    <row r="1" spans="1:2" ht="22.5" x14ac:dyDescent="0.25">
      <c r="A1" s="12" t="s">
        <v>8</v>
      </c>
      <c r="B1" s="2"/>
    </row>
    <row r="2" spans="1:2" ht="37.5" x14ac:dyDescent="0.25">
      <c r="A2" s="10" t="s">
        <v>18</v>
      </c>
      <c r="B2" s="2"/>
    </row>
    <row r="3" spans="1:2" ht="37.5" x14ac:dyDescent="0.35">
      <c r="A3" s="10" t="s">
        <v>11</v>
      </c>
      <c r="B3" s="14" t="s">
        <v>7</v>
      </c>
    </row>
    <row r="4" spans="1:2" ht="37.5" x14ac:dyDescent="0.25">
      <c r="A4" s="9" t="s">
        <v>12</v>
      </c>
      <c r="B4" s="2"/>
    </row>
    <row r="5" spans="1:2" ht="37.5" x14ac:dyDescent="0.25">
      <c r="A5" s="9" t="s">
        <v>13</v>
      </c>
      <c r="B5" s="2"/>
    </row>
    <row r="6" spans="1:2" ht="37.5" x14ac:dyDescent="0.25">
      <c r="A6" s="9" t="s">
        <v>14</v>
      </c>
      <c r="B6" s="2"/>
    </row>
    <row r="7" spans="1:2" ht="22.5" x14ac:dyDescent="0.25">
      <c r="A7" s="12" t="s">
        <v>2</v>
      </c>
      <c r="B7" s="2"/>
    </row>
    <row r="8" spans="1:2" ht="18.75" x14ac:dyDescent="0.25">
      <c r="A8" s="9" t="s">
        <v>3</v>
      </c>
      <c r="B8" s="2"/>
    </row>
    <row r="9" spans="1:2" ht="18.75" x14ac:dyDescent="0.25">
      <c r="A9" s="11" t="s">
        <v>15</v>
      </c>
      <c r="B9" s="2"/>
    </row>
    <row r="10" spans="1:2" ht="18.75" x14ac:dyDescent="0.25">
      <c r="A10" s="11" t="s">
        <v>9</v>
      </c>
      <c r="B10" s="2"/>
    </row>
    <row r="11" spans="1:2" ht="22.5" x14ac:dyDescent="0.25">
      <c r="A11" s="12" t="s">
        <v>4</v>
      </c>
      <c r="B11" s="2"/>
    </row>
    <row r="12" spans="1:2" ht="37.5" x14ac:dyDescent="0.25">
      <c r="A12" s="9" t="s">
        <v>16</v>
      </c>
      <c r="B12" s="2"/>
    </row>
    <row r="13" spans="1:2" ht="18.75" x14ac:dyDescent="0.3">
      <c r="A13" s="11" t="s">
        <v>10</v>
      </c>
      <c r="B13" s="13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1" t="s">
        <v>17</v>
      </c>
      <c r="B14" s="2"/>
    </row>
    <row r="15" spans="1:2" ht="22.5" x14ac:dyDescent="0.25">
      <c r="A15" s="12" t="s">
        <v>5</v>
      </c>
      <c r="B15" s="2"/>
    </row>
    <row r="16" spans="1:2" ht="37.5" x14ac:dyDescent="0.25">
      <c r="A16" s="9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5A4BBB-F44A-42DA-8EBF-AD9A2856564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369</vt:lpstr>
      <vt:lpstr>README</vt:lpstr>
      <vt:lpstr>_solution_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2026-02-28T08:07:11Z</dcterms:modified>
</cp:coreProperties>
</file>