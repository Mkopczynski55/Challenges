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Ostatnie dwa tygodnie/Done/"/>
    </mc:Choice>
  </mc:AlternateContent>
  <xr:revisionPtr revIDLastSave="37" documentId="13_ncr:1_{21BA7F08-7E7B-4B8B-966F-71B5F47FA967}" xr6:coauthVersionLast="47" xr6:coauthVersionMax="47" xr10:uidLastSave="{3D3163CC-F7EB-4F00-89B6-9989E860D032}"/>
  <bookViews>
    <workbookView xWindow="14295" yWindow="0" windowWidth="14610" windowHeight="15585" xr2:uid="{00000000-000D-0000-FFFF-FFFF00000000}"/>
  </bookViews>
  <sheets>
    <sheet name="340" sheetId="1" r:id="rId1"/>
    <sheet name="README" sheetId="2" r:id="rId2"/>
  </sheets>
  <definedNames>
    <definedName name="_xlnm._FilterDatabase" localSheetId="0" hidden="1">'340'!$B$3:$H$23</definedName>
    <definedName name="ExternalData_1" localSheetId="0" hidden="1">'340'!$Q$3:$T$8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1" i="1" l="1" a="1"/>
  <c r="V3" i="1" a="1"/>
  <c r="V3" i="1" s="1"/>
  <c r="B13" i="2"/>
  <c r="V11" i="1" l="1" a="1"/>
  <c r="V11" i="1" s="1"/>
  <c r="Q1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97C961-7D1A-483A-A689-4A2336F3CA98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<sst xmlns="http://schemas.openxmlformats.org/spreadsheetml/2006/main" count="85" uniqueCount="32">
  <si>
    <t>Question</t>
  </si>
  <si>
    <t>Result</t>
  </si>
  <si>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</si>
  <si>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</si>
  <si>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</si>
  <si>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</si>
  <si>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</si>
  <si>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</si>
  <si>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</si>
  <si>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</si>
  <si>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</si>
  <si>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</si>
  <si>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</si>
  <si>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</si>
  <si>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</si>
  <si>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</si>
  <si>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</si>
  <si>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</si>
  <si>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</si>
  <si>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Date</t>
  </si>
  <si>
    <t>Product</t>
  </si>
  <si>
    <t>Customer</t>
  </si>
  <si>
    <t>Quantity</t>
  </si>
  <si>
    <t>A</t>
  </si>
  <si>
    <t>C1</t>
  </si>
  <si>
    <t>C</t>
  </si>
  <si>
    <t>B</t>
  </si>
  <si>
    <t>C2</t>
  </si>
  <si>
    <t>C3</t>
  </si>
  <si>
    <t>L</t>
  </si>
  <si>
    <t>U</t>
  </si>
  <si>
    <t>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</si>
</sst>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1"/>
      <scheme val="minor"/>
    </font>
    <font>
      <b/>
      <sz val="11"/>
      <color theme="0"/>
      <name val="Century Gothic"/>
      <family val="1"/>
      <scheme val="minor"/>
    </font>
    <font>
      <sz val="11"/>
      <color theme="1" tint="4.9989318521683403E-2"/>
      <name val="Times New Roman"/>
      <family val="1"/>
    </font>
    <font>
      <b/>
      <sz val="11"/>
      <color theme="1" tint="4.9989318521683403E-2"/>
      <name val="Times New Roman"/>
      <family val="1"/>
    </font>
    <font>
      <u/>
      <sz val="11"/>
      <color theme="10"/>
      <name val="Century Gothic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entury Gothic"/>
      <family val="2"/>
      <scheme val="minor"/>
    </font>
    <font>
      <b/>
      <u/>
      <sz val="16"/>
      <color rgb="FF0070C0"/>
      <name val="Century Gothic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3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4" fontId="0" fillId="0" borderId="0" xfId="0" applyNumberFormat="1"/>
    <xf numFmtId="14" fontId="2" fillId="2" borderId="4" xfId="0" applyNumberFormat="1" applyFont="1" applyFill="1" applyBorder="1" applyAlignment="1">
      <alignment horizontal="center"/>
    </xf>
    <xf numFmtId="14" fontId="2" fillId="2" borderId="5" xfId="0" applyNumberFormat="1" applyFont="1" applyFill="1" applyBorder="1" applyAlignment="1">
      <alignment horizontal="center"/>
    </xf>
    <xf numFmtId="14" fontId="2" fillId="2" borderId="2" xfId="0" applyNumberFormat="1" applyFont="1" applyFill="1" applyBorder="1" applyAlignment="1">
      <alignment horizontal="center"/>
    </xf>
    <xf numFmtId="14" fontId="2" fillId="2" borderId="3" xfId="0" applyNumberFormat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7" fillId="0" borderId="0" xfId="1"/>
    <xf numFmtId="0" fontId="9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2"/>
    </xf>
    <xf numFmtId="0" fontId="10" fillId="0" borderId="0" xfId="0" applyFont="1" applyAlignment="1">
      <alignment vertical="center"/>
    </xf>
    <xf numFmtId="0" fontId="11" fillId="0" borderId="0" xfId="1" applyFont="1"/>
    <xf numFmtId="0" fontId="12" fillId="0" borderId="0" xfId="1" applyFont="1"/>
    <xf numFmtId="14" fontId="2" fillId="2" borderId="9" xfId="0" applyNumberFormat="1" applyFont="1" applyFill="1" applyBorder="1" applyAlignment="1">
      <alignment horizontal="center"/>
    </xf>
    <xf numFmtId="14" fontId="2" fillId="2" borderId="10" xfId="0" applyNumberFormat="1" applyFont="1" applyFill="1" applyBorder="1" applyAlignment="1">
      <alignment horizontal="center"/>
    </xf>
    <xf numFmtId="14" fontId="2" fillId="2" borderId="11" xfId="0" applyNumberFormat="1" applyFont="1" applyFill="1" applyBorder="1" applyAlignment="1">
      <alignment horizontal="center"/>
    </xf>
    <xf numFmtId="0" fontId="6" fillId="4" borderId="13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/>
    </xf>
    <xf numFmtId="49" fontId="2" fillId="2" borderId="10" xfId="0" applyNumberFormat="1" applyFont="1" applyFill="1" applyBorder="1" applyAlignment="1">
      <alignment horizontal="center"/>
    </xf>
    <xf numFmtId="49" fontId="2" fillId="2" borderId="6" xfId="0" applyNumberFormat="1" applyFont="1" applyFill="1" applyBorder="1" applyAlignment="1">
      <alignment horizontal="center"/>
    </xf>
    <xf numFmtId="49" fontId="2" fillId="2" borderId="9" xfId="0" applyNumberFormat="1" applyFont="1" applyFill="1" applyBorder="1" applyAlignment="1">
      <alignment horizontal="center"/>
    </xf>
    <xf numFmtId="49" fontId="2" fillId="2" borderId="4" xfId="0" applyNumberFormat="1" applyFont="1" applyFill="1" applyBorder="1" applyAlignment="1">
      <alignment horizontal="center"/>
    </xf>
    <xf numFmtId="49" fontId="2" fillId="2" borderId="11" xfId="0" applyNumberFormat="1" applyFont="1" applyFill="1" applyBorder="1" applyAlignment="1">
      <alignment horizontal="center"/>
    </xf>
    <xf numFmtId="49" fontId="2" fillId="2" borderId="14" xfId="0" applyNumberFormat="1" applyFont="1" applyFill="1" applyBorder="1" applyAlignment="1">
      <alignment horizontal="center"/>
    </xf>
    <xf numFmtId="14" fontId="2" fillId="5" borderId="4" xfId="0" applyNumberFormat="1" applyFont="1" applyFill="1" applyBorder="1" applyAlignment="1">
      <alignment horizontal="center"/>
    </xf>
    <xf numFmtId="49" fontId="2" fillId="5" borderId="9" xfId="0" applyNumberFormat="1" applyFont="1" applyFill="1" applyBorder="1" applyAlignment="1">
      <alignment horizontal="center"/>
    </xf>
    <xf numFmtId="49" fontId="2" fillId="5" borderId="4" xfId="0" applyNumberFormat="1" applyFont="1" applyFill="1" applyBorder="1" applyAlignment="1">
      <alignment horizontal="center"/>
    </xf>
    <xf numFmtId="4" fontId="2" fillId="2" borderId="10" xfId="0" applyNumberFormat="1" applyFont="1" applyFill="1" applyBorder="1" applyAlignment="1">
      <alignment horizontal="center"/>
    </xf>
    <xf numFmtId="4" fontId="2" fillId="2" borderId="9" xfId="0" applyNumberFormat="1" applyFont="1" applyFill="1" applyBorder="1" applyAlignment="1">
      <alignment horizontal="center"/>
    </xf>
    <xf numFmtId="4" fontId="2" fillId="2" borderId="11" xfId="0" applyNumberFormat="1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2">
    <cellStyle name="Hiperłącze" xfId="1" builtinId="8"/>
    <cellStyle name="Normalny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4" formatCode="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m/d/yyyy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m/d/yyyy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d/mm/yyyy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ill>
        <patternFill>
          <fgColor indexed="64"/>
          <bgColor theme="0"/>
        </patternFill>
      </fill>
    </dxf>
    <dxf>
      <border outline="0"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ill>
        <patternFill patternType="solid">
          <fgColor indexed="64"/>
          <bgColor theme="0"/>
        </patternFill>
      </fill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1" defaultTableStyle="TableStyleMedium2" defaultPivotStyle="PivotStyleLight16">
    <tableStyle name="Invisible" pivot="0" table="0" count="0" xr9:uid="{11FE2CC0-9A2E-4F1D-A1AC-38472AE55779}"/>
  </tableStyles>
  <colors>
    <mruColors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958362</xdr:colOff>
      <xdr:row>11</xdr:row>
      <xdr:rowOff>139209</xdr:rowOff>
    </xdr:from>
    <xdr:to>
      <xdr:col>12</xdr:col>
      <xdr:colOff>473320</xdr:colOff>
      <xdr:row>23</xdr:row>
      <xdr:rowOff>45427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1185497" y="2718286"/>
          <a:ext cx="5962650" cy="2455987"/>
        </a:xfrm>
        <a:prstGeom prst="roundRect">
          <a:avLst>
            <a:gd name="adj" fmla="val 13595"/>
          </a:avLst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340:  Table Transformation!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Transform the Question table into the Result table by removing all cells that contain the values “L” or “U”.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When a cell with “L” is removed, the next value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in the same row should shift left to fill the gap.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When a cell with “U” is removed, the value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directly below it should shift upward to fill the gap</a:t>
          </a:r>
        </a:p>
        <a:p>
          <a:endParaRPr lang="en-AU" sz="1600" b="0">
            <a:solidFill>
              <a:srgbClr val="FFC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216877</xdr:colOff>
      <xdr:row>0</xdr:row>
      <xdr:rowOff>0</xdr:rowOff>
    </xdr:from>
    <xdr:to>
      <xdr:col>1</xdr:col>
      <xdr:colOff>381000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6877" y="0"/>
          <a:ext cx="392723" cy="392723"/>
        </a:xfrm>
        <a:prstGeom prst="rect">
          <a:avLst/>
        </a:prstGeom>
      </xdr:spPr>
    </xdr:pic>
    <xdr:clientData/>
  </xdr:twoCellAnchor>
  <xdr:twoCellAnchor>
    <xdr:from>
      <xdr:col>1</xdr:col>
      <xdr:colOff>339970</xdr:colOff>
      <xdr:row>0</xdr:row>
      <xdr:rowOff>46891</xdr:rowOff>
    </xdr:from>
    <xdr:to>
      <xdr:col>10</xdr:col>
      <xdr:colOff>1055078</xdr:colOff>
      <xdr:row>0</xdr:row>
      <xdr:rowOff>386861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568570" y="46891"/>
          <a:ext cx="4900246" cy="33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1</xdr:col>
      <xdr:colOff>827941</xdr:colOff>
      <xdr:row>11</xdr:row>
      <xdr:rowOff>43962</xdr:rowOff>
    </xdr:from>
    <xdr:to>
      <xdr:col>3</xdr:col>
      <xdr:colOff>294250</xdr:colOff>
      <xdr:row>14</xdr:row>
      <xdr:rowOff>156504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1055076" y="2623039"/>
          <a:ext cx="638616" cy="749984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10</xdr:col>
      <xdr:colOff>814755</xdr:colOff>
      <xdr:row>18</xdr:row>
      <xdr:rowOff>65938</xdr:rowOff>
    </xdr:from>
    <xdr:to>
      <xdr:col>12</xdr:col>
      <xdr:colOff>348763</xdr:colOff>
      <xdr:row>20</xdr:row>
      <xdr:rowOff>1460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5599236" y="4132380"/>
          <a:ext cx="1424354" cy="360484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10</xdr:col>
      <xdr:colOff>803033</xdr:colOff>
      <xdr:row>20</xdr:row>
      <xdr:rowOff>48354</xdr:rowOff>
    </xdr:from>
    <xdr:to>
      <xdr:col>12</xdr:col>
      <xdr:colOff>337041</xdr:colOff>
      <xdr:row>21</xdr:row>
      <xdr:rowOff>196357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5587514" y="4539758"/>
          <a:ext cx="1424354" cy="360484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E07143F-C7AA-431B-96F5-DDA760075035}" autoFormatId="16" applyNumberFormats="0" applyBorderFormats="0" applyFontFormats="0" applyPatternFormats="0" applyAlignmentFormats="0" applyWidthHeightFormats="0">
  <queryTableRefresh nextId="5">
    <queryTableFields count="4">
      <queryTableField id="1" name="Date" tableColumnId="1"/>
      <queryTableField id="2" name="Product" tableColumnId="2"/>
      <queryTableField id="3" name="Customer" tableColumnId="3"/>
      <queryTableField id="4" name="Quantity" tableColumnId="4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2C4004-2774-4C2E-BDDD-F9286DA13AFA}" name="tblStart" displayName="tblStart" ref="B3:G10" totalsRowShown="0" headerRowDxfId="25" dataDxfId="23" headerRowBorderDxfId="24" tableBorderDxfId="22" totalsRowBorderDxfId="21">
  <tableColumns count="6">
    <tableColumn id="1" xr3:uid="{5E176447-D8A8-44E6-956C-FD94787A1101}" name="Date" dataDxfId="20"/>
    <tableColumn id="2" xr3:uid="{56BBE485-5DE4-4E36-B8B1-2B7B849BC4F4}" name="L" dataDxfId="19"/>
    <tableColumn id="3" xr3:uid="{D557EB22-DB52-43E7-9161-9A8999793964}" name="Product" dataDxfId="18"/>
    <tableColumn id="4" xr3:uid="{9A915669-4B29-43BE-8907-283744343984}" name="Customer" dataDxfId="17"/>
    <tableColumn id="5" xr3:uid="{322749D9-3373-4D54-9FF6-B2CCDB2AFB62}" name="Quantity" dataDxfId="16"/>
    <tableColumn id="6" xr3:uid="{E6D96E00-C3B1-4A51-91D4-B88B49830135}" name="L2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0C3839-919B-4D33-8EDD-01BEAC32F56C}" name="Table13" displayName="Table13" ref="K3:N8" totalsRowShown="0" headerRowDxfId="14" dataDxfId="12" headerRowBorderDxfId="13" tableBorderDxfId="11" totalsRowBorderDxfId="10">
  <tableColumns count="4">
    <tableColumn id="1" xr3:uid="{0DB64DBE-9FA9-4420-BD1F-1F601DBF7799}" name="Date" dataDxfId="9"/>
    <tableColumn id="2" xr3:uid="{F75C9153-D929-4282-BB75-3ECF44F1833D}" name="Product" dataDxfId="8"/>
    <tableColumn id="3" xr3:uid="{42772707-FA6E-4657-B029-0D722374CF88}" name="Customer" dataDxfId="7"/>
    <tableColumn id="4" xr3:uid="{0EB7DEE5-E5F3-444F-9A34-C31068CE6057}" name="Quantity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14B5C29-8FB4-48DD-92D3-C42D06C92454}" name="tblSolution" displayName="tblSolution" ref="Q3:T8" tableType="queryTable" totalsRowShown="0" headerRowDxfId="5" dataDxfId="4">
  <autoFilter ref="Q3:T8" xr:uid="{014B5C29-8FB4-48DD-92D3-C42D06C92454}"/>
  <tableColumns count="4">
    <tableColumn id="1" xr3:uid="{22CAAA04-2894-480C-9506-6FAA77F9339B}" uniqueName="1" name="Date" queryTableFieldId="1" dataDxfId="3"/>
    <tableColumn id="2" xr3:uid="{7F8ED6F9-2D1C-4B17-98AE-D4BBEABC99D9}" uniqueName="2" name="Product" queryTableFieldId="2" dataDxfId="2"/>
    <tableColumn id="3" xr3:uid="{4B90F78D-0244-44AB-8F3C-BF4379CCB738}" uniqueName="3" name="Customer" queryTableFieldId="3" dataDxfId="1"/>
    <tableColumn id="4" xr3:uid="{8F8D8657-9C8E-4963-AD62-0D56261DBD49}" uniqueName="4" name="Quantity" queryTableFieldId="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3"/>
  <sheetViews>
    <sheetView showGridLines="0" tabSelected="1" topLeftCell="E1" zoomScale="130" zoomScaleNormal="130" workbookViewId="0">
      <selection activeCell="L5" sqref="L5"/>
    </sheetView>
  </sheetViews>
  <sheetFormatPr defaultRowHeight="16.5" x14ac:dyDescent="0.3"/>
  <cols>
    <col min="1" max="1" width="3" customWidth="1"/>
    <col min="2" max="2" width="13.25" style="4" customWidth="1"/>
    <col min="3" max="3" width="2.125" style="4" bestFit="1" customWidth="1"/>
    <col min="4" max="4" width="7.125" style="4" bestFit="1" customWidth="1"/>
    <col min="5" max="5" width="8.5" style="4" bestFit="1" customWidth="1"/>
    <col min="6" max="6" width="7.75" style="4" bestFit="1" customWidth="1"/>
    <col min="7" max="7" width="7.25" style="4" bestFit="1" customWidth="1"/>
    <col min="8" max="10" width="4.625" customWidth="1"/>
    <col min="11" max="11" width="15.75" style="5" customWidth="1"/>
    <col min="17" max="17" width="6.75" bestFit="1" customWidth="1"/>
    <col min="18" max="18" width="9.25" bestFit="1" customWidth="1"/>
    <col min="19" max="19" width="11" bestFit="1" customWidth="1"/>
    <col min="20" max="20" width="9.875" bestFit="1" customWidth="1"/>
  </cols>
  <sheetData>
    <row r="1" spans="1:25" ht="30.6" customHeight="1" x14ac:dyDescent="0.3"/>
    <row r="2" spans="1:25" s="6" customFormat="1" ht="22.5" customHeight="1" x14ac:dyDescent="0.3">
      <c r="B2" s="41" t="s">
        <v>0</v>
      </c>
      <c r="C2" s="42"/>
      <c r="D2" s="42"/>
      <c r="E2" s="42"/>
      <c r="F2" s="42"/>
      <c r="G2" s="42"/>
      <c r="I2"/>
      <c r="K2" s="39" t="s">
        <v>1</v>
      </c>
      <c r="L2" s="40"/>
      <c r="M2" s="40"/>
      <c r="N2" s="40"/>
    </row>
    <row r="3" spans="1:25" s="2" customFormat="1" x14ac:dyDescent="0.3">
      <c r="B3" s="14" t="s">
        <v>19</v>
      </c>
      <c r="C3" s="26" t="s">
        <v>29</v>
      </c>
      <c r="D3" s="26" t="s">
        <v>20</v>
      </c>
      <c r="E3" s="26" t="s">
        <v>21</v>
      </c>
      <c r="F3" s="26" t="s">
        <v>22</v>
      </c>
      <c r="G3" s="26" t="s">
        <v>31</v>
      </c>
      <c r="H3" s="3"/>
      <c r="I3"/>
      <c r="K3" s="13" t="s">
        <v>19</v>
      </c>
      <c r="L3" s="25" t="s">
        <v>20</v>
      </c>
      <c r="M3" s="25" t="s">
        <v>21</v>
      </c>
      <c r="N3" s="25" t="s">
        <v>22</v>
      </c>
      <c r="Q3" s="2" t="s">
        <v>19</v>
      </c>
      <c r="R3" s="2" t="s">
        <v>20</v>
      </c>
      <c r="S3" s="2" t="s">
        <v>21</v>
      </c>
      <c r="T3" s="2" t="s">
        <v>22</v>
      </c>
      <c r="V3" s="2" t="b" cm="1">
        <f t="array" ref="V3:Y8">tblSolution[#All]=Table13[#All]</f>
        <v>1</v>
      </c>
      <c r="W3" s="2" t="b">
        <v>1</v>
      </c>
      <c r="X3" s="2" t="b">
        <v>1</v>
      </c>
      <c r="Y3" s="2" t="b">
        <v>1</v>
      </c>
    </row>
    <row r="4" spans="1:25" s="2" customFormat="1" x14ac:dyDescent="0.3">
      <c r="B4" s="9">
        <v>45493</v>
      </c>
      <c r="C4" s="27" t="s">
        <v>29</v>
      </c>
      <c r="D4" s="27" t="s">
        <v>23</v>
      </c>
      <c r="E4" s="27" t="s">
        <v>24</v>
      </c>
      <c r="F4" s="27">
        <v>4</v>
      </c>
      <c r="G4" s="28" t="s">
        <v>29</v>
      </c>
      <c r="H4" s="7"/>
      <c r="I4"/>
      <c r="K4" s="11">
        <v>45493</v>
      </c>
      <c r="L4" s="23" t="s">
        <v>23</v>
      </c>
      <c r="M4" s="23" t="s">
        <v>24</v>
      </c>
      <c r="N4" s="36">
        <v>4</v>
      </c>
      <c r="Q4">
        <v>45493</v>
      </c>
      <c r="R4" t="s">
        <v>23</v>
      </c>
      <c r="S4" t="s">
        <v>24</v>
      </c>
      <c r="T4">
        <v>4</v>
      </c>
      <c r="V4" s="2" t="b">
        <v>1</v>
      </c>
      <c r="W4" s="2" t="b">
        <v>1</v>
      </c>
      <c r="X4" s="2" t="b">
        <v>1</v>
      </c>
      <c r="Y4" s="2" t="b">
        <v>1</v>
      </c>
    </row>
    <row r="5" spans="1:25" s="2" customFormat="1" x14ac:dyDescent="0.3">
      <c r="B5" s="9">
        <v>45509</v>
      </c>
      <c r="C5" s="29" t="s">
        <v>29</v>
      </c>
      <c r="D5" s="29" t="s">
        <v>30</v>
      </c>
      <c r="E5" s="29" t="s">
        <v>30</v>
      </c>
      <c r="F5" s="29" t="s">
        <v>30</v>
      </c>
      <c r="G5" s="30" t="s">
        <v>29</v>
      </c>
      <c r="H5" s="7"/>
      <c r="I5"/>
      <c r="K5" s="11">
        <v>45509</v>
      </c>
      <c r="L5" s="22" t="s">
        <v>25</v>
      </c>
      <c r="M5" s="22" t="s">
        <v>24</v>
      </c>
      <c r="N5" s="37">
        <v>2</v>
      </c>
      <c r="Q5">
        <v>45509</v>
      </c>
      <c r="R5" t="s">
        <v>25</v>
      </c>
      <c r="S5" t="s">
        <v>24</v>
      </c>
      <c r="T5">
        <v>2</v>
      </c>
      <c r="V5" s="2" t="b">
        <v>1</v>
      </c>
      <c r="W5" s="2" t="b">
        <v>1</v>
      </c>
      <c r="X5" s="2" t="b">
        <v>1</v>
      </c>
      <c r="Y5" s="2" t="b">
        <v>1</v>
      </c>
    </row>
    <row r="6" spans="1:25" s="2" customFormat="1" x14ac:dyDescent="0.3">
      <c r="B6" s="9">
        <v>45540</v>
      </c>
      <c r="C6" s="29" t="s">
        <v>29</v>
      </c>
      <c r="D6" s="29" t="s">
        <v>25</v>
      </c>
      <c r="E6" s="29" t="s">
        <v>24</v>
      </c>
      <c r="F6" s="29">
        <v>2</v>
      </c>
      <c r="G6" s="30" t="s">
        <v>29</v>
      </c>
      <c r="H6" s="7"/>
      <c r="I6"/>
      <c r="K6" s="11">
        <v>45540</v>
      </c>
      <c r="L6" s="22" t="s">
        <v>26</v>
      </c>
      <c r="M6" s="22" t="s">
        <v>27</v>
      </c>
      <c r="N6" s="37">
        <v>8</v>
      </c>
      <c r="Q6">
        <v>45540</v>
      </c>
      <c r="R6" t="s">
        <v>26</v>
      </c>
      <c r="S6" t="s">
        <v>27</v>
      </c>
      <c r="T6">
        <v>8</v>
      </c>
      <c r="V6" s="2" t="b">
        <v>1</v>
      </c>
      <c r="W6" s="2" t="b">
        <v>1</v>
      </c>
      <c r="X6" s="2" t="b">
        <v>1</v>
      </c>
      <c r="Y6" s="2" t="b">
        <v>1</v>
      </c>
    </row>
    <row r="7" spans="1:25" s="2" customFormat="1" x14ac:dyDescent="0.3">
      <c r="B7" s="33">
        <v>45517</v>
      </c>
      <c r="C7" s="29" t="s">
        <v>29</v>
      </c>
      <c r="D7" s="34" t="s">
        <v>26</v>
      </c>
      <c r="E7" s="29" t="s">
        <v>30</v>
      </c>
      <c r="F7" s="29" t="s">
        <v>30</v>
      </c>
      <c r="G7" s="30" t="s">
        <v>29</v>
      </c>
      <c r="H7" s="7"/>
      <c r="I7"/>
      <c r="K7" s="11">
        <v>45517</v>
      </c>
      <c r="L7" s="22" t="s">
        <v>23</v>
      </c>
      <c r="M7" s="22" t="s">
        <v>28</v>
      </c>
      <c r="N7" s="37">
        <v>1</v>
      </c>
      <c r="Q7">
        <v>45517</v>
      </c>
      <c r="R7" t="s">
        <v>23</v>
      </c>
      <c r="S7" t="s">
        <v>28</v>
      </c>
      <c r="T7">
        <v>1</v>
      </c>
      <c r="V7" s="2" t="b">
        <v>1</v>
      </c>
      <c r="W7" s="2" t="b">
        <v>1</v>
      </c>
      <c r="X7" s="2" t="b">
        <v>1</v>
      </c>
      <c r="Y7" s="2" t="b">
        <v>1</v>
      </c>
    </row>
    <row r="8" spans="1:25" s="2" customFormat="1" x14ac:dyDescent="0.3">
      <c r="B8" s="10">
        <v>45553</v>
      </c>
      <c r="C8" s="29" t="s">
        <v>29</v>
      </c>
      <c r="D8" s="29" t="s">
        <v>23</v>
      </c>
      <c r="E8" s="29" t="s">
        <v>29</v>
      </c>
      <c r="F8" s="29" t="s">
        <v>27</v>
      </c>
      <c r="G8" s="30">
        <v>8</v>
      </c>
      <c r="H8" s="7"/>
      <c r="I8" s="7"/>
      <c r="J8"/>
      <c r="K8" s="12">
        <v>45553</v>
      </c>
      <c r="L8" s="24" t="s">
        <v>23</v>
      </c>
      <c r="M8" s="24" t="s">
        <v>24</v>
      </c>
      <c r="N8" s="38">
        <v>5</v>
      </c>
      <c r="Q8">
        <v>45553</v>
      </c>
      <c r="R8" t="s">
        <v>23</v>
      </c>
      <c r="S8" t="s">
        <v>24</v>
      </c>
      <c r="T8">
        <v>5</v>
      </c>
      <c r="V8" s="2" t="b">
        <v>1</v>
      </c>
      <c r="W8" s="2" t="b">
        <v>1</v>
      </c>
      <c r="X8" s="2" t="b">
        <v>1</v>
      </c>
      <c r="Y8" s="2" t="b">
        <v>1</v>
      </c>
    </row>
    <row r="9" spans="1:25" s="2" customFormat="1" x14ac:dyDescent="0.3">
      <c r="B9" s="9" t="s">
        <v>30</v>
      </c>
      <c r="C9" s="29" t="s">
        <v>29</v>
      </c>
      <c r="D9" s="29" t="s">
        <v>23</v>
      </c>
      <c r="E9" s="29" t="s">
        <v>29</v>
      </c>
      <c r="F9" s="34" t="s">
        <v>28</v>
      </c>
      <c r="G9" s="35">
        <v>1</v>
      </c>
      <c r="H9" s="7"/>
      <c r="I9" s="8"/>
      <c r="J9"/>
      <c r="K9" s="5"/>
      <c r="L9"/>
      <c r="M9"/>
      <c r="N9"/>
      <c r="O9"/>
    </row>
    <row r="10" spans="1:25" x14ac:dyDescent="0.3">
      <c r="B10" s="9" t="s">
        <v>30</v>
      </c>
      <c r="C10" s="31" t="s">
        <v>29</v>
      </c>
      <c r="D10" s="31" t="s">
        <v>30</v>
      </c>
      <c r="E10" s="31" t="s">
        <v>29</v>
      </c>
      <c r="F10" s="31" t="s">
        <v>24</v>
      </c>
      <c r="G10" s="32">
        <v>5</v>
      </c>
      <c r="H10" s="7"/>
      <c r="I10" s="8"/>
    </row>
    <row r="11" spans="1:25" x14ac:dyDescent="0.3">
      <c r="H11" s="7"/>
      <c r="I11" s="8"/>
      <c r="P11" s="15"/>
      <c r="Q11" t="str" cm="1">
        <f t="array" ref="Q11:T16">_xlfn.LET(
_xlpm._data_, tblStart[],
_xlpm._cCount_, COLUMNS(_xlpm._data_),
_xlpm._bRow_, _xlfn.BYROW(_xlpm._data_, _xlfn.LAMBDA(_xlpm.r, _xlfn.LET(_xlpm.f, _xlfn._xlws.FILTER(_xlpm.r, _xlpm.r &lt;&gt; "L"), _xlpm.l, COUNTA(_xlpm.f), _xlpm.res, _xlfn.TEXTJOIN(";",1,_xlpm.f) &amp; REPT(";",_xlpm._cCount_ - _xlpm.l), _xlpm.res))),
_xlpm._rCombine_, _xlfn.TEXTSPLIT(_xlfn.TEXTJOIN("/",0, _xlpm._bRow_), ";","/",0,0),
_xlpm._bCol_, _xlfn.BYCOL(_xlpm._rCombine_,_xlfn.LAMBDA(_xlpm.c, _xlfn.TEXTJOIN(";",1,_xlfn._xlws.FILTER(_xlpm.c, _xlpm.c &lt;&gt; "U")))),
_xlpm._cCombine_, TRANSPOSE(_xlfn.TEXTSPLIT(_xlfn.TEXTJOIN("/",0, _xlpm._bCol_), ";","/",1,0)),
_xlpm._res_, _xlfn.VSTACK({"Date","Product","Customer","Quantity"}, IFERROR(--_xlpm._cCombine_, _xlpm._cCombine_)),
_xlpm._res_)</f>
        <v>Date</v>
      </c>
      <c r="R11" t="str">
        <v>Product</v>
      </c>
      <c r="S11" t="str">
        <v>Customer</v>
      </c>
      <c r="T11" t="str">
        <v>Quantity</v>
      </c>
      <c r="V11" t="b" cm="1">
        <f t="array" ref="V11:Y16">_xlfn.ANCHORARRAY(Q11)=Table13[#All]</f>
        <v>1</v>
      </c>
      <c r="W11" t="b">
        <v>1</v>
      </c>
      <c r="X11" t="b">
        <v>1</v>
      </c>
      <c r="Y11" t="b">
        <v>1</v>
      </c>
    </row>
    <row r="12" spans="1:25" x14ac:dyDescent="0.3">
      <c r="A12" s="1"/>
      <c r="H12" s="7"/>
      <c r="I12" s="8"/>
      <c r="Q12">
        <v>45493</v>
      </c>
      <c r="R12" t="str">
        <v>A</v>
      </c>
      <c r="S12" t="str">
        <v>C1</v>
      </c>
      <c r="T12">
        <v>4</v>
      </c>
      <c r="V12" t="b">
        <v>1</v>
      </c>
      <c r="W12" t="b">
        <v>1</v>
      </c>
      <c r="X12" t="b">
        <v>1</v>
      </c>
      <c r="Y12" t="b">
        <v>1</v>
      </c>
    </row>
    <row r="13" spans="1:25" x14ac:dyDescent="0.3">
      <c r="A13" s="1"/>
      <c r="H13" s="7"/>
      <c r="I13" s="8"/>
      <c r="Q13">
        <v>45509</v>
      </c>
      <c r="R13" t="str">
        <v>C</v>
      </c>
      <c r="S13" t="str">
        <v>C1</v>
      </c>
      <c r="T13">
        <v>2</v>
      </c>
      <c r="V13" t="b">
        <v>1</v>
      </c>
      <c r="W13" t="b">
        <v>1</v>
      </c>
      <c r="X13" t="b">
        <v>1</v>
      </c>
      <c r="Y13" t="b">
        <v>1</v>
      </c>
    </row>
    <row r="14" spans="1:25" x14ac:dyDescent="0.3">
      <c r="A14" s="1"/>
      <c r="H14" s="7"/>
      <c r="I14" s="8"/>
      <c r="Q14">
        <v>45540</v>
      </c>
      <c r="R14" t="str">
        <v>B</v>
      </c>
      <c r="S14" t="str">
        <v>C2</v>
      </c>
      <c r="T14">
        <v>8</v>
      </c>
      <c r="V14" t="b">
        <v>1</v>
      </c>
      <c r="W14" t="b">
        <v>1</v>
      </c>
      <c r="X14" t="b">
        <v>1</v>
      </c>
      <c r="Y14" t="b">
        <v>1</v>
      </c>
    </row>
    <row r="15" spans="1:25" x14ac:dyDescent="0.3">
      <c r="A15" s="1"/>
      <c r="H15" s="7"/>
      <c r="I15" s="8"/>
      <c r="Q15">
        <v>45517</v>
      </c>
      <c r="R15" t="str">
        <v>A</v>
      </c>
      <c r="S15" t="str">
        <v>C3</v>
      </c>
      <c r="T15">
        <v>1</v>
      </c>
      <c r="V15" t="b">
        <v>1</v>
      </c>
      <c r="W15" t="b">
        <v>1</v>
      </c>
      <c r="X15" t="b">
        <v>1</v>
      </c>
      <c r="Y15" t="b">
        <v>1</v>
      </c>
    </row>
    <row r="16" spans="1:25" x14ac:dyDescent="0.3">
      <c r="A16" s="1"/>
      <c r="H16" s="7"/>
      <c r="I16" s="8"/>
      <c r="Q16">
        <v>45553</v>
      </c>
      <c r="R16" t="str">
        <v>A</v>
      </c>
      <c r="S16" t="str">
        <v>C1</v>
      </c>
      <c r="T16">
        <v>5</v>
      </c>
      <c r="V16" t="b">
        <v>1</v>
      </c>
      <c r="W16" t="b">
        <v>1</v>
      </c>
      <c r="X16" t="b">
        <v>1</v>
      </c>
      <c r="Y16" t="b">
        <v>1</v>
      </c>
    </row>
    <row r="17" spans="1:15" x14ac:dyDescent="0.3">
      <c r="A17" s="1"/>
      <c r="H17" s="7"/>
      <c r="I17" s="1"/>
    </row>
    <row r="18" spans="1:15" x14ac:dyDescent="0.3">
      <c r="A18" s="1"/>
      <c r="H18" s="7"/>
      <c r="I18" s="1"/>
    </row>
    <row r="19" spans="1:15" x14ac:dyDescent="0.3">
      <c r="A19" s="1"/>
      <c r="H19" s="7"/>
      <c r="I19" s="1"/>
      <c r="O19" s="2"/>
    </row>
    <row r="20" spans="1:15" x14ac:dyDescent="0.3">
      <c r="A20" s="1"/>
      <c r="H20" s="7"/>
      <c r="I20" s="1"/>
    </row>
    <row r="21" spans="1:15" x14ac:dyDescent="0.3">
      <c r="H21" s="7"/>
      <c r="I21" s="1"/>
    </row>
    <row r="22" spans="1:15" x14ac:dyDescent="0.3">
      <c r="H22" s="7"/>
      <c r="I22" s="1"/>
    </row>
    <row r="23" spans="1:15" x14ac:dyDescent="0.3">
      <c r="H23" s="7"/>
    </row>
  </sheetData>
  <sortState xmlns:xlrd2="http://schemas.microsoft.com/office/spreadsheetml/2017/richdata2" ref="B4:B8">
    <sortCondition ref="B8"/>
  </sortState>
  <mergeCells count="2">
    <mergeCell ref="K2:N2"/>
    <mergeCell ref="B2:G2"/>
  </mergeCells>
  <phoneticPr fontId="1" type="noConversion"/>
  <pageMargins left="0.7" right="0.7" top="0.75" bottom="0.75" header="0.3" footer="0.3"/>
  <pageSetup paperSize="9" orientation="portrait" r:id="rId1"/>
  <drawing r:id="rId2"/>
  <tableParts count="3"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6.5" x14ac:dyDescent="0.3"/>
  <cols>
    <col min="1" max="1" width="85.25" customWidth="1"/>
    <col min="2" max="2" width="21.75" bestFit="1" customWidth="1"/>
  </cols>
  <sheetData>
    <row r="1" spans="1:2" ht="22.5" x14ac:dyDescent="0.3">
      <c r="A1" s="19" t="s">
        <v>8</v>
      </c>
      <c r="B1" s="2"/>
    </row>
    <row r="2" spans="1:2" ht="37.5" x14ac:dyDescent="0.3">
      <c r="A2" s="17" t="s">
        <v>18</v>
      </c>
      <c r="B2" s="2"/>
    </row>
    <row r="3" spans="1:2" ht="20.25" x14ac:dyDescent="0.3">
      <c r="A3" s="17" t="s">
        <v>11</v>
      </c>
      <c r="B3" s="21" t="s">
        <v>7</v>
      </c>
    </row>
    <row r="4" spans="1:2" ht="37.5" x14ac:dyDescent="0.3">
      <c r="A4" s="16" t="s">
        <v>12</v>
      </c>
      <c r="B4" s="2"/>
    </row>
    <row r="5" spans="1:2" ht="18.75" x14ac:dyDescent="0.3">
      <c r="A5" s="16" t="s">
        <v>13</v>
      </c>
      <c r="B5" s="2"/>
    </row>
    <row r="6" spans="1:2" ht="37.5" x14ac:dyDescent="0.3">
      <c r="A6" s="16" t="s">
        <v>14</v>
      </c>
      <c r="B6" s="2"/>
    </row>
    <row r="7" spans="1:2" ht="22.5" x14ac:dyDescent="0.3">
      <c r="A7" s="19" t="s">
        <v>2</v>
      </c>
      <c r="B7" s="2"/>
    </row>
    <row r="8" spans="1:2" ht="18.75" x14ac:dyDescent="0.3">
      <c r="A8" s="16" t="s">
        <v>3</v>
      </c>
      <c r="B8" s="2"/>
    </row>
    <row r="9" spans="1:2" ht="18.75" x14ac:dyDescent="0.3">
      <c r="A9" s="18" t="s">
        <v>15</v>
      </c>
      <c r="B9" s="2"/>
    </row>
    <row r="10" spans="1:2" ht="18.75" x14ac:dyDescent="0.3">
      <c r="A10" s="18" t="s">
        <v>9</v>
      </c>
      <c r="B10" s="2"/>
    </row>
    <row r="11" spans="1:2" ht="22.5" x14ac:dyDescent="0.3">
      <c r="A11" s="19" t="s">
        <v>4</v>
      </c>
      <c r="B11" s="2"/>
    </row>
    <row r="12" spans="1:2" ht="37.5" x14ac:dyDescent="0.3">
      <c r="A12" s="16" t="s">
        <v>16</v>
      </c>
      <c r="B12" s="2"/>
    </row>
    <row r="13" spans="1:2" ht="18.75" x14ac:dyDescent="0.3">
      <c r="A13" s="18" t="s">
        <v>10</v>
      </c>
      <c r="B13" s="20" t="str">
        <f>HYPERLINK("https://docs.google.com/forms/d/e/1FAIpQLSenkFJw7PjqMlL5f4xHx1KkzeZZRSB8vU92w6mFH6a_daa9pw/viewform?usp=header","Link to Form")</f>
        <v>Link to Form</v>
      </c>
    </row>
    <row r="14" spans="1:2" ht="18.75" x14ac:dyDescent="0.3">
      <c r="A14" s="18" t="s">
        <v>17</v>
      </c>
      <c r="B14" s="2"/>
    </row>
    <row r="15" spans="1:2" ht="22.5" x14ac:dyDescent="0.3">
      <c r="A15" s="19" t="s">
        <v>5</v>
      </c>
      <c r="B15" s="2"/>
    </row>
    <row r="16" spans="1:2" ht="37.5" x14ac:dyDescent="0.3">
      <c r="A16" s="16" t="s">
        <v>6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97081A-1873-43F2-A114-5FABA1CA1B1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340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Maciej Kopczyński</cp:lastModifiedBy>
  <cp:lastPrinted>2024-01-31T23:46:52Z</cp:lastPrinted>
  <dcterms:created xsi:type="dcterms:W3CDTF">2015-06-05T18:17:20Z</dcterms:created>
  <dcterms:modified xsi:type="dcterms:W3CDTF">2026-01-04T09:02:17Z</dcterms:modified>
</cp:coreProperties>
</file>