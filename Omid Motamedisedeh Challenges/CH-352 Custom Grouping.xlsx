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https://d.docs.live.net/29f448ec057303af/Pulpit/Ostatnie dwa tygodnie/Done/"/>
    </mc:Choice>
  </mc:AlternateContent>
  <xr:revisionPtr revIDLastSave="62" documentId="13_ncr:1_{42E4B3E5-B988-4FE1-9E21-266155B895B0}" xr6:coauthVersionLast="47" xr6:coauthVersionMax="47" xr10:uidLastSave="{4CB58195-523D-42FF-80D5-84C069B082B4}"/>
  <bookViews>
    <workbookView xWindow="25695" yWindow="0" windowWidth="26010" windowHeight="20985" xr2:uid="{00000000-000D-0000-FFFF-FFFF00000000}"/>
  </bookViews>
  <sheets>
    <sheet name="352" sheetId="1" r:id="rId1"/>
    <sheet name="README" sheetId="2" r:id="rId2"/>
  </sheets>
  <definedNames>
    <definedName name="_xlnm._FilterDatabase" localSheetId="0" hidden="1">'352'!$B$3:$C$23</definedName>
    <definedName name="ExternalData_1" localSheetId="0" hidden="1">'352'!$J$3:$L$13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7" i="1" l="1"/>
  <c r="N19" i="1" s="1"/>
  <c r="N3" i="1" a="1"/>
  <c r="N3" i="1" s="1"/>
  <c r="J16" i="1" a="1"/>
  <c r="J16" i="1" s="1"/>
  <c r="B13" i="2"/>
  <c r="R3" i="1" l="1" a="1"/>
  <c r="R3"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00924F-AAF7-47DC-B511-B042F1385D30}" keepAlive="1" name="Zapytanie — tblSolution" description="Połączenie z zapytaniem „tblSolution” w skoroszycie." type="5" refreshedVersion="8" background="1" saveData="1">
    <dbPr connection="Provider=Microsoft.Mashup.OleDb.1;Data Source=$Workbook$;Location=tblSolution;Extended Properties=&quot;&quot;" command="SELECT * FROM [tblSolution]"/>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<sst xmlns="http://schemas.openxmlformats.org/spreadsheetml/2006/main" count="72" uniqueCount="49">
  <si>
    <t>Question</t>
  </si>
  <si>
    <t>Result</t>
  </si>
  <si>
    <t>ID</t>
  </si>
  <si>
    <t>🧩 Adding Explanations</t>
  </si>
  <si>
    <t>If you want to include explanations or extra notes:</t>
  </si>
  <si>
    <t>🌐 Sharing External Content</t>
  </si>
  <si>
    <t>🗣 Feedback</t>
  </si>
  <si>
    <t>I always appreciate your feedback — feel free to share any suggestions or ideas for improvement.</t>
  </si>
  <si>
    <t>www.OmidBI.com</t>
  </si>
  <si>
    <t>Challenge Overview</t>
  </si>
  <si>
    <t>Start your extra explanation after the hashtag #Explanations.</t>
  </si>
  <si>
    <t xml:space="preserve">You are welcome to submit it using the following submission link </t>
  </si>
  <si>
    <r>
      <t>Website:</t>
    </r>
    <r>
      <rPr>
        <sz val="14"/>
        <color theme="1"/>
        <rFont val="Times New Roman"/>
        <family val="1"/>
      </rPr>
      <t xml:space="preserve"> All challenges </t>
    </r>
    <r>
      <rPr>
        <b/>
        <sz val="14"/>
        <color theme="1"/>
        <rFont val="Times New Roman"/>
        <family val="1"/>
      </rPr>
      <t>and their solutions</t>
    </r>
    <r>
      <rPr>
        <sz val="14"/>
        <color theme="1"/>
        <rFont val="Times New Roman"/>
        <family val="1"/>
      </rPr>
      <t xml:space="preserve"> are also available on my website:</t>
    </r>
  </si>
  <si>
    <r>
      <t xml:space="preserve">Please </t>
    </r>
    <r>
      <rPr>
        <b/>
        <sz val="14"/>
        <color theme="1"/>
        <rFont val="Times New Roman"/>
        <family val="1"/>
      </rPr>
      <t>post your solution in the comments</t>
    </r>
    <r>
      <rPr>
        <sz val="14"/>
        <color theme="1"/>
        <rFont val="Times New Roman"/>
        <family val="1"/>
      </rPr>
      <t xml:space="preserve"> under the challenge post </t>
    </r>
    <r>
      <rPr>
        <b/>
        <sz val="14"/>
        <color theme="1"/>
        <rFont val="Times New Roman"/>
        <family val="1"/>
      </rPr>
      <t>using your full name</t>
    </r>
    <r>
      <rPr>
        <sz val="14"/>
        <color theme="1"/>
        <rFont val="Times New Roman"/>
        <family val="1"/>
      </rPr>
      <t>.</t>
    </r>
  </si>
  <si>
    <r>
      <t xml:space="preserve">To keep everything organized, </t>
    </r>
    <r>
      <rPr>
        <b/>
        <sz val="14"/>
        <color theme="1"/>
        <rFont val="Times New Roman"/>
        <family val="1"/>
      </rPr>
      <t>submit each solution in a separate comment</t>
    </r>
    <r>
      <rPr>
        <sz val="14"/>
        <color theme="1"/>
        <rFont val="Times New Roman"/>
        <family val="1"/>
      </rPr>
      <t>.</t>
    </r>
  </si>
  <si>
    <r>
      <t xml:space="preserve">Mention the </t>
    </r>
    <r>
      <rPr>
        <b/>
        <sz val="14"/>
        <color theme="1"/>
        <rFont val="Times New Roman"/>
        <family val="1"/>
      </rPr>
      <t>tools</t>
    </r>
    <r>
      <rPr>
        <sz val="14"/>
        <color theme="1"/>
        <rFont val="Times New Roman"/>
        <family val="1"/>
      </rPr>
      <t xml:space="preserve"> you used in your solution using hashtags — for example: #Python or #DAX at the beginning of comment cell</t>
    </r>
  </si>
  <si>
    <r>
      <t xml:space="preserve">Add them </t>
    </r>
    <r>
      <rPr>
        <b/>
        <sz val="14"/>
        <color theme="1"/>
        <rFont val="Times New Roman"/>
        <family val="1"/>
      </rPr>
      <t>at the end of your solution</t>
    </r>
    <r>
      <rPr>
        <sz val="14"/>
        <color theme="1"/>
        <rFont val="Times New Roman"/>
        <family val="1"/>
      </rPr>
      <t xml:space="preserve"> in the </t>
    </r>
    <r>
      <rPr>
        <b/>
        <sz val="14"/>
        <color theme="1"/>
        <rFont val="Times New Roman"/>
        <family val="1"/>
      </rPr>
      <t>same comment</t>
    </r>
    <r>
      <rPr>
        <sz val="14"/>
        <color theme="1"/>
        <rFont val="Times New Roman"/>
        <family val="1"/>
      </rPr>
      <t>.</t>
    </r>
  </si>
  <si>
    <r>
      <t xml:space="preserve">If you create a </t>
    </r>
    <r>
      <rPr>
        <b/>
        <sz val="14"/>
        <color theme="1"/>
        <rFont val="Times New Roman"/>
        <family val="1"/>
      </rPr>
      <t>YouTube video</t>
    </r>
    <r>
      <rPr>
        <sz val="14"/>
        <color theme="1"/>
        <rFont val="Times New Roman"/>
        <family val="1"/>
      </rPr>
      <t xml:space="preserve">, </t>
    </r>
    <r>
      <rPr>
        <b/>
        <sz val="14"/>
        <color theme="1"/>
        <rFont val="Times New Roman"/>
        <family val="1"/>
      </rPr>
      <t>blog post</t>
    </r>
    <r>
      <rPr>
        <sz val="14"/>
        <color theme="1"/>
        <rFont val="Times New Roman"/>
        <family val="1"/>
      </rPr>
      <t>, or any other external explanation based on the challenge:</t>
    </r>
  </si>
  <si>
    <r>
      <t xml:space="preserve">Your work will be shared on the website </t>
    </r>
    <r>
      <rPr>
        <b/>
        <sz val="14"/>
        <color theme="1"/>
        <rFont val="Times New Roman"/>
        <family val="1"/>
      </rPr>
      <t>under your name</t>
    </r>
    <r>
      <rPr>
        <sz val="14"/>
        <color theme="1"/>
        <rFont val="Times New Roman"/>
        <family val="1"/>
      </rPr>
      <t>.</t>
    </r>
  </si>
  <si>
    <r>
      <t>Frequency:</t>
    </r>
    <r>
      <rPr>
        <sz val="14"/>
        <color theme="1"/>
        <rFont val="Times New Roman"/>
        <family val="1"/>
      </rPr>
      <t xml:space="preserve"> New challenges are posted </t>
    </r>
    <r>
      <rPr>
        <b/>
        <sz val="14"/>
        <color theme="1"/>
        <rFont val="Times New Roman"/>
        <family val="1"/>
      </rPr>
      <t>every other day</t>
    </r>
    <r>
      <rPr>
        <sz val="14"/>
        <color theme="1"/>
        <rFont val="Times New Roman"/>
        <family val="1"/>
      </rPr>
      <t xml:space="preserve"> at </t>
    </r>
    <r>
      <rPr>
        <b/>
        <sz val="14"/>
        <color theme="1"/>
        <rFont val="Times New Roman"/>
        <family val="1"/>
      </rPr>
      <t>9:00 PM (UTC)</t>
    </r>
    <r>
      <rPr>
        <sz val="14"/>
        <color theme="1"/>
        <rFont val="Times New Roman"/>
        <family val="1"/>
      </rPr>
      <t xml:space="preserve"> on my LinkedIn page.</t>
    </r>
  </si>
  <si>
    <t>F</t>
  </si>
  <si>
    <t>A</t>
  </si>
  <si>
    <t>B</t>
  </si>
  <si>
    <t>C</t>
  </si>
  <si>
    <t>D</t>
  </si>
  <si>
    <t>E</t>
  </si>
  <si>
    <t>Group #</t>
  </si>
  <si>
    <t>Group 1</t>
  </si>
  <si>
    <t>Group 2</t>
  </si>
  <si>
    <t>A, B, C</t>
  </si>
  <si>
    <t>D, E, F</t>
  </si>
  <si>
    <t>A, B, D</t>
  </si>
  <si>
    <t>C, E, F</t>
  </si>
  <si>
    <t>A, B, E</t>
  </si>
  <si>
    <t>C, D, F</t>
  </si>
  <si>
    <t>A, B, F</t>
  </si>
  <si>
    <t>C, D, E</t>
  </si>
  <si>
    <t>A, C, D</t>
  </si>
  <si>
    <t>B, E, F</t>
  </si>
  <si>
    <t>A, C, E</t>
  </si>
  <si>
    <t>B, D, F</t>
  </si>
  <si>
    <t>A, C, F</t>
  </si>
  <si>
    <t>B, D, E</t>
  </si>
  <si>
    <t>A, D, E</t>
  </si>
  <si>
    <t>B, C, F</t>
  </si>
  <si>
    <t>A, D, F</t>
  </si>
  <si>
    <t>B, C, E</t>
  </si>
  <si>
    <t>A, E, F</t>
  </si>
  <si>
    <t>B, C,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</si>
</sst>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Calibri"/>
      <family val="2"/>
      <scheme val="minor"/>
    </font>
    <font>
      <sz val="8"/>
      <name val="Calibri"/>
      <family val="2"/>
      <scheme val="minor"/>
    </font>
    <font>
      <sz val="11"/>
      <color theme="1"/>
      <name val="Times New Roman"/>
      <family val="1"/>
    </font>
    <font>
      <b/>
      <sz val="11"/>
      <color theme="1"/>
      <name val="Calibri"/>
      <family val="1"/>
      <scheme val="minor"/>
    </font>
    <font>
      <b/>
      <sz val="11"/>
      <color theme="0"/>
      <name val="Calibri"/>
      <family val="1"/>
      <scheme val="minor"/>
    </font>
    <font>
      <sz val="11"/>
      <color theme="1" tint="4.9989318521683403E-2"/>
      <name val="Times New Roman"/>
      <family val="1"/>
    </font>
    <font>
      <b/>
      <sz val="11"/>
      <color theme="1" tint="4.9989318521683403E-2"/>
      <name val="Times New Roman"/>
      <family val="1"/>
    </font>
    <font>
      <u/>
      <sz val="11"/>
      <color theme="10"/>
      <name val="Calibri"/>
      <family val="2"/>
      <scheme val="minor"/>
    </font>
    <font>
      <b/>
      <sz val="14"/>
      <color theme="1"/>
      <name val="Times New Roman"/>
      <family val="1"/>
    </font>
    <font>
      <sz val="14"/>
      <color theme="1"/>
      <name val="Times New Roman"/>
      <family val="1"/>
    </font>
    <font>
      <b/>
      <sz val="18"/>
      <color rgb="FF0070C0"/>
      <name val="Times New Roman"/>
      <family val="1"/>
    </font>
    <font>
      <b/>
      <u/>
      <sz val="14"/>
      <color rgb="FF0070C0"/>
      <name val="Calibri"/>
      <family val="2"/>
      <scheme val="minor"/>
    </font>
    <font>
      <b/>
      <u/>
      <sz val="16"/>
      <color rgb="FF0070C0"/>
      <name val="Calibri Light"/>
      <family val="2"/>
      <scheme val="major"/>
    </font>
  </fonts>
  <fills count="5">
    <fill>
      <patternFill patternType="none"/>
    </fill>
    <fill>
      <patternFill patternType="gray125"/>
    </fill>
    <fill>
      <patternFill patternType="solid">
        <fgColor theme="0"/>
        <bgColor indexed="64"/>
      </patternFill>
    </fill>
    <fill>
      <patternFill patternType="solid">
        <fgColor theme="8" tint="-0.499984740745262"/>
        <bgColor indexed="64"/>
      </patternFill>
    </fill>
    <fill>
      <patternFill patternType="solid">
        <fgColor theme="8" tint="-0.249977111117893"/>
        <bgColor indexed="64"/>
      </patternFill>
    </fill>
  </fills>
  <borders count="10">
    <border>
      <left/>
      <right/>
      <top/>
      <bottom/>
      <diagonal/>
    </border>
    <border>
      <left style="thin">
        <color auto="1"/>
      </left>
      <right style="hair">
        <color auto="1"/>
      </right>
      <top style="thin">
        <color auto="1"/>
      </top>
      <bottom style="thin">
        <color auto="1"/>
      </bottom>
      <diagonal/>
    </border>
    <border>
      <left/>
      <right style="hair">
        <color auto="1"/>
      </right>
      <top style="hair">
        <color auto="1"/>
      </top>
      <bottom style="hair">
        <color auto="1"/>
      </bottom>
      <diagonal/>
    </border>
    <border>
      <left/>
      <right style="hair">
        <color auto="1"/>
      </right>
      <top style="hair">
        <color auto="1"/>
      </top>
      <bottom style="thin">
        <color auto="1"/>
      </bottom>
      <diagonal/>
    </border>
    <border>
      <left/>
      <right style="hair">
        <color auto="1"/>
      </right>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top/>
      <bottom style="thin">
        <color auto="1"/>
      </bottom>
      <diagonal/>
    </border>
    <border>
      <left/>
      <right/>
      <top/>
      <bottom style="thin">
        <color auto="1"/>
      </bottom>
      <diagonal/>
    </border>
    <border>
      <left/>
      <right style="hair">
        <color auto="1"/>
      </right>
      <top style="hair">
        <color auto="1"/>
      </top>
      <bottom/>
      <diagonal/>
    </border>
  </borders>
  <cellStyleXfs count="2">
    <xf numFmtId="0" fontId="0" fillId="0" borderId="0"/>
    <xf numFmtId="0" fontId="7" fillId="0" borderId="0" applyNumberFormat="0" applyFill="0" applyBorder="0" applyAlignment="0" applyProtection="0"/>
  </cellStyleXfs>
  <cellXfs count="24">
    <xf numFmtId="0" fontId="0" fillId="0" borderId="0" xfId="0"/>
    <xf numFmtId="14" fontId="0" fillId="0" borderId="0" xfId="0" applyNumberFormat="1"/>
    <xf numFmtId="0" fontId="2" fillId="0" borderId="0" xfId="0" applyFont="1"/>
    <xf numFmtId="14" fontId="2" fillId="0" borderId="0" xfId="0" applyNumberFormat="1" applyFont="1"/>
    <xf numFmtId="0" fontId="0" fillId="0" borderId="0" xfId="0" applyAlignment="1">
      <alignment horizontal="center"/>
    </xf>
    <xf numFmtId="0" fontId="0" fillId="0" borderId="0" xfId="0" applyAlignment="1">
      <alignment horizontal="center" vertical="center"/>
    </xf>
    <xf numFmtId="0" fontId="3" fillId="0" borderId="0" xfId="0" applyFont="1" applyAlignment="1">
      <alignment vertical="center"/>
    </xf>
    <xf numFmtId="4" fontId="2" fillId="0" borderId="0" xfId="0" applyNumberFormat="1" applyFont="1"/>
    <xf numFmtId="4" fontId="0" fillId="0" borderId="0" xfId="0" applyNumberFormat="1"/>
    <xf numFmtId="14" fontId="2" fillId="2" borderId="2" xfId="0" applyNumberFormat="1" applyFont="1" applyFill="1" applyBorder="1" applyAlignment="1">
      <alignment horizontal="center"/>
    </xf>
    <xf numFmtId="14" fontId="2" fillId="2" borderId="3" xfId="0" applyNumberFormat="1" applyFont="1" applyFill="1" applyBorder="1" applyAlignment="1">
      <alignment horizontal="center"/>
    </xf>
    <xf numFmtId="49" fontId="2" fillId="2" borderId="6" xfId="0" applyNumberFormat="1" applyFont="1" applyFill="1" applyBorder="1" applyAlignment="1">
      <alignment horizontal="center"/>
    </xf>
    <xf numFmtId="0" fontId="9" fillId="0" borderId="0" xfId="0" applyFont="1" applyAlignment="1">
      <alignment horizontal="left" vertical="center" wrapText="1" indent="1"/>
    </xf>
    <xf numFmtId="0" fontId="8" fillId="0" borderId="0" xfId="0" applyFont="1" applyAlignment="1">
      <alignment horizontal="left" vertical="center" wrapText="1" indent="1"/>
    </xf>
    <xf numFmtId="0" fontId="9" fillId="0" borderId="0" xfId="0" applyFont="1" applyAlignment="1">
      <alignment horizontal="left" vertical="center" wrapText="1" indent="2"/>
    </xf>
    <xf numFmtId="0" fontId="10" fillId="0" borderId="0" xfId="0" applyFont="1" applyAlignment="1">
      <alignment vertical="center"/>
    </xf>
    <xf numFmtId="0" fontId="11" fillId="0" borderId="0" xfId="1" applyFont="1"/>
    <xf numFmtId="0" fontId="12" fillId="0" borderId="0" xfId="1" applyFont="1"/>
    <xf numFmtId="0" fontId="4" fillId="3" borderId="1" xfId="0" applyFont="1" applyFill="1" applyBorder="1" applyAlignment="1">
      <alignment horizontal="center" vertical="center"/>
    </xf>
    <xf numFmtId="0" fontId="6" fillId="4" borderId="5" xfId="0" applyFont="1" applyFill="1" applyBorder="1" applyAlignment="1">
      <alignment horizontal="center"/>
    </xf>
    <xf numFmtId="0" fontId="5" fillId="4" borderId="4" xfId="0" applyFont="1" applyFill="1" applyBorder="1" applyAlignment="1">
      <alignment horizontal="center"/>
    </xf>
    <xf numFmtId="14" fontId="2" fillId="2" borderId="9" xfId="0" applyNumberFormat="1" applyFont="1" applyFill="1" applyBorder="1" applyAlignment="1">
      <alignment horizontal="center"/>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cellXfs>
  <cellStyles count="2">
    <cellStyle name="Hiperłącze" xfId="1" builtinId="8"/>
    <cellStyle name="Normalny" xfId="0" builtinId="0"/>
  </cellStyles>
  <dxfs count="12">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numFmt numFmtId="164" formatCode="m/d/yyyy"/>
      <fill>
        <patternFill patternType="solid">
          <fgColor indexed="64"/>
          <bgColor theme="0"/>
        </patternFill>
      </fill>
      <alignment horizontal="center" vertical="bottom" textRotation="0" wrapText="0" indent="0" justifyLastLine="0" shrinkToFit="0" readingOrder="0"/>
      <border diagonalUp="0" diagonalDown="0" outline="0">
        <left/>
        <right style="hair">
          <color auto="1"/>
        </right>
        <top style="hair">
          <color auto="1"/>
        </top>
        <bottom style="hair">
          <color auto="1"/>
        </bottom>
      </border>
    </dxf>
    <dxf>
      <border outline="0">
        <top style="hair">
          <color auto="1"/>
        </top>
      </border>
    </dxf>
    <dxf>
      <border outline="0">
        <left style="thin">
          <color auto="1"/>
        </left>
        <right style="thin">
          <color auto="1"/>
        </right>
        <top style="thin">
          <color auto="1"/>
        </top>
      </border>
    </dxf>
    <dxf>
      <fill>
        <patternFill patternType="solid">
          <fgColor indexed="64"/>
          <bgColor theme="0"/>
        </patternFill>
      </fill>
    </dxf>
    <dxf>
      <border outline="0">
        <bottom style="hair">
          <color auto="1"/>
        </bottom>
      </border>
    </dxf>
    <dxf>
      <font>
        <b val="0"/>
        <i val="0"/>
        <strike val="0"/>
        <condense val="0"/>
        <extend val="0"/>
        <outline val="0"/>
        <shadow val="0"/>
        <u val="none"/>
        <vertAlign val="baseline"/>
        <sz val="11"/>
        <color theme="1" tint="4.9989318521683403E-2"/>
        <name val="Times New Roman"/>
        <family val="1"/>
        <scheme val="none"/>
      </font>
      <fill>
        <patternFill patternType="solid">
          <fgColor indexed="64"/>
          <bgColor theme="8" tint="-0.249977111117893"/>
        </patternFill>
      </fill>
      <alignment horizontal="center" vertical="bottom" textRotation="0" wrapText="0" indent="0" justifyLastLine="0" shrinkToFit="0" readingOrder="0"/>
      <border diagonalUp="0" diagonalDown="0" outline="0">
        <left style="hair">
          <color auto="1"/>
        </left>
        <right style="hair">
          <color auto="1"/>
        </right>
        <top/>
        <bottom/>
      </border>
    </dxf>
    <dxf>
      <font>
        <name val="Times New Roman"/>
        <family val="1"/>
        <scheme val="none"/>
      </font>
      <numFmt numFmtId="30" formatCode="@"/>
      <fill>
        <patternFill patternType="solid">
          <fgColor indexed="64"/>
          <bgColor theme="0"/>
        </patternFill>
      </fill>
      <alignment horizontal="center" vertical="bottom" textRotation="0" wrapText="0" indent="0" justifyLastLine="0" shrinkToFit="0" readingOrder="0"/>
      <border diagonalUp="0" diagonalDown="0">
        <left style="hair">
          <color auto="1"/>
        </left>
        <right style="thin">
          <color auto="1"/>
        </right>
        <top style="hair">
          <color auto="1"/>
        </top>
        <bottom style="hair">
          <color auto="1"/>
        </bottom>
        <vertical/>
        <horizontal/>
      </border>
    </dxf>
    <dxf>
      <font>
        <name val="Times New Roman"/>
        <family val="1"/>
        <scheme val="none"/>
      </font>
      <numFmt numFmtId="30" formatCode="@"/>
      <fill>
        <patternFill patternType="solid">
          <fgColor indexed="64"/>
          <bgColor theme="0"/>
        </patternFill>
      </fill>
      <alignment horizontal="center" vertical="bottom" textRotation="0" wrapText="0" indent="0" justifyLastLine="0" shrinkToFit="0" readingOrder="0"/>
      <border diagonalUp="0" diagonalDown="0">
        <left style="hair">
          <color auto="1"/>
        </left>
        <right style="thin">
          <color auto="1"/>
        </right>
        <top style="hair">
          <color auto="1"/>
        </top>
        <bottom style="hair">
          <color auto="1"/>
        </bottom>
        <vertical/>
        <horizontal/>
      </border>
    </dxf>
    <dxf>
      <font>
        <b val="0"/>
        <i val="0"/>
        <strike val="0"/>
        <condense val="0"/>
        <extend val="0"/>
        <outline val="0"/>
        <shadow val="0"/>
        <u val="none"/>
        <vertAlign val="baseline"/>
        <sz val="11"/>
        <color theme="1"/>
        <name val="Times New Roman"/>
        <family val="1"/>
        <scheme val="none"/>
      </font>
      <numFmt numFmtId="30" formatCode="@"/>
      <fill>
        <patternFill patternType="solid">
          <fgColor indexed="64"/>
          <bgColor theme="0"/>
        </patternFill>
      </fill>
      <alignment horizontal="center" vertical="bottom" textRotation="0" wrapText="0" indent="0" justifyLastLine="0" shrinkToFit="0" readingOrder="0"/>
      <border diagonalUp="0" diagonalDown="0">
        <left style="hair">
          <color auto="1"/>
        </left>
        <right style="thin">
          <color auto="1"/>
        </right>
        <top style="hair">
          <color auto="1"/>
        </top>
        <bottom style="hair">
          <color auto="1"/>
        </bottom>
        <vertical/>
        <horizontal/>
      </border>
    </dxf>
    <dxf>
      <border outline="0">
        <bottom style="hair">
          <color auto="1"/>
        </bottom>
      </border>
    </dxf>
    <dxf>
      <font>
        <b/>
        <i val="0"/>
        <strike val="0"/>
        <condense val="0"/>
        <extend val="0"/>
        <outline val="0"/>
        <shadow val="0"/>
        <u val="none"/>
        <vertAlign val="baseline"/>
        <sz val="11"/>
        <color theme="1" tint="4.9989318521683403E-2"/>
        <name val="Times New Roman"/>
        <family val="1"/>
        <scheme val="none"/>
      </font>
      <fill>
        <patternFill patternType="solid">
          <fgColor indexed="64"/>
          <bgColor theme="8" tint="-0.249977111117893"/>
        </patternFill>
      </fill>
      <alignment horizontal="center" vertical="bottom" textRotation="0" wrapText="0" indent="0" justifyLastLine="0" shrinkToFit="0" readingOrder="0"/>
    </dxf>
  </dxfs>
  <tableStyles count="1" defaultTableStyle="TableStyleMedium2" defaultPivotStyle="PivotStyleLight16">
    <tableStyle name="Invisible" pivot="0" table="0" count="0" xr9:uid="{3C3BB11A-AC7C-4D7B-9D51-31F7EA471901}"/>
  </tableStyles>
  <colors>
    <mruColors>
      <color rgb="FFB6C88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linkedin.com/in/omidmot/" TargetMode="External"/><Relationship Id="rId7" Type="http://schemas.openxmlformats.org/officeDocument/2006/relationships/hyperlink" Target="https://www.omidbi.com/" TargetMode="Externa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hyperlink" Target="https://www.youtube.com/@omidbi?sub_confirmation=1" TargetMode="External"/><Relationship Id="rId4"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35170</xdr:colOff>
      <xdr:row>9</xdr:row>
      <xdr:rowOff>124556</xdr:rowOff>
    </xdr:from>
    <xdr:to>
      <xdr:col>5</xdr:col>
      <xdr:colOff>410308</xdr:colOff>
      <xdr:row>20</xdr:row>
      <xdr:rowOff>131885</xdr:rowOff>
    </xdr:to>
    <xdr:sp macro="" textlink="">
      <xdr:nvSpPr>
        <xdr:cNvPr id="10" name="Rectangle: Rounded Corners 9">
          <a:extLst>
            <a:ext uri="{FF2B5EF4-FFF2-40B4-BE49-F238E27FC236}">
              <a16:creationId xmlns:a16="http://schemas.microsoft.com/office/drawing/2014/main" id="{7A07FC4F-74BA-4105-D804-04BDA27D0C87}"/>
            </a:ext>
          </a:extLst>
        </xdr:cNvPr>
        <xdr:cNvSpPr/>
      </xdr:nvSpPr>
      <xdr:spPr>
        <a:xfrm>
          <a:off x="35170" y="2124806"/>
          <a:ext cx="3320561" cy="2102829"/>
        </a:xfrm>
        <a:prstGeom prst="roundRect">
          <a:avLst>
            <a:gd name="adj" fmla="val 13595"/>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AU" sz="1600" b="1">
              <a:solidFill>
                <a:schemeClr val="bg1"/>
              </a:solidFill>
              <a:effectLst/>
              <a:latin typeface="Times New Roman" panose="02020603050405020304" pitchFamily="18" charset="0"/>
              <a:ea typeface="+mn-ea"/>
              <a:cs typeface="Times New Roman" panose="02020603050405020304" pitchFamily="18" charset="0"/>
            </a:rPr>
            <a:t>Challenge 352:</a:t>
          </a:r>
        </a:p>
        <a:p>
          <a:pPr marL="0" indent="0" algn="ctr"/>
          <a:r>
            <a:rPr lang="en-AU" sz="1600" b="1">
              <a:solidFill>
                <a:schemeClr val="bg1"/>
              </a:solidFill>
              <a:effectLst/>
              <a:latin typeface="Times New Roman" panose="02020603050405020304" pitchFamily="18" charset="0"/>
              <a:ea typeface="+mn-ea"/>
              <a:cs typeface="Times New Roman" panose="02020603050405020304" pitchFamily="18" charset="0"/>
            </a:rPr>
            <a:t>Custom</a:t>
          </a:r>
          <a:r>
            <a:rPr lang="en-AU" sz="1600" b="1" baseline="0">
              <a:solidFill>
                <a:schemeClr val="bg1"/>
              </a:solidFill>
              <a:effectLst/>
              <a:latin typeface="Times New Roman" panose="02020603050405020304" pitchFamily="18" charset="0"/>
              <a:ea typeface="+mn-ea"/>
              <a:cs typeface="Times New Roman" panose="02020603050405020304" pitchFamily="18" charset="0"/>
            </a:rPr>
            <a:t> Grouping</a:t>
          </a:r>
          <a:r>
            <a:rPr lang="en-AU" sz="1600" b="1">
              <a:solidFill>
                <a:schemeClr val="bg1"/>
              </a:solidFill>
              <a:effectLst/>
              <a:latin typeface="Times New Roman" panose="02020603050405020304" pitchFamily="18" charset="0"/>
              <a:ea typeface="+mn-ea"/>
              <a:cs typeface="Times New Roman" panose="02020603050405020304" pitchFamily="18" charset="0"/>
            </a:rPr>
            <a:t>!</a:t>
          </a:r>
        </a:p>
        <a:p>
          <a:br>
            <a:rPr lang="en-AU" sz="1400" b="1">
              <a:solidFill>
                <a:srgbClr val="FFC000"/>
              </a:solidFill>
              <a:effectLst/>
              <a:latin typeface="Times New Roman" panose="02020603050405020304" pitchFamily="18" charset="0"/>
              <a:ea typeface="+mn-ea"/>
              <a:cs typeface="Times New Roman" panose="02020603050405020304" pitchFamily="18" charset="0"/>
            </a:rPr>
          </a:br>
          <a:r>
            <a:rPr lang="en-AU" sz="1400" b="1">
              <a:solidFill>
                <a:srgbClr val="FFC000"/>
              </a:solidFill>
              <a:effectLst/>
              <a:latin typeface="Times New Roman" panose="02020603050405020304" pitchFamily="18" charset="0"/>
              <a:ea typeface="+mn-ea"/>
              <a:cs typeface="Times New Roman" panose="02020603050405020304" pitchFamily="18" charset="0"/>
            </a:rPr>
            <a:t>List all possible ways to divide the items into two groups with the same number of elements, and provide the solution for the IDs A, B, C, D, E, and F.</a:t>
          </a:r>
        </a:p>
      </xdr:txBody>
    </xdr:sp>
    <xdr:clientData/>
  </xdr:twoCellAnchor>
  <xdr:twoCellAnchor editAs="oneCell">
    <xdr:from>
      <xdr:col>0</xdr:col>
      <xdr:colOff>207352</xdr:colOff>
      <xdr:row>0</xdr:row>
      <xdr:rowOff>0</xdr:rowOff>
    </xdr:from>
    <xdr:to>
      <xdr:col>1</xdr:col>
      <xdr:colOff>386129</xdr:colOff>
      <xdr:row>1</xdr:row>
      <xdr:rowOff>5861</xdr:rowOff>
    </xdr:to>
    <xdr:pic>
      <xdr:nvPicPr>
        <xdr:cNvPr id="3" name="Graphic 2" descr="Puzzle with solid fill">
          <a:extLst>
            <a:ext uri="{FF2B5EF4-FFF2-40B4-BE49-F238E27FC236}">
              <a16:creationId xmlns:a16="http://schemas.microsoft.com/office/drawing/2014/main" id="{7C7D27D8-A215-92FF-5288-C8F2DC67F6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7352" y="0"/>
          <a:ext cx="391258" cy="386861"/>
        </a:xfrm>
        <a:prstGeom prst="rect">
          <a:avLst/>
        </a:prstGeom>
      </xdr:spPr>
    </xdr:pic>
    <xdr:clientData/>
  </xdr:twoCellAnchor>
  <xdr:twoCellAnchor>
    <xdr:from>
      <xdr:col>1</xdr:col>
      <xdr:colOff>339970</xdr:colOff>
      <xdr:row>0</xdr:row>
      <xdr:rowOff>46891</xdr:rowOff>
    </xdr:from>
    <xdr:to>
      <xdr:col>7</xdr:col>
      <xdr:colOff>183173</xdr:colOff>
      <xdr:row>0</xdr:row>
      <xdr:rowOff>377336</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14104B81-3970-2E05-04FE-1D2DB0F9480D}"/>
            </a:ext>
          </a:extLst>
        </xdr:cNvPr>
        <xdr:cNvSpPr/>
      </xdr:nvSpPr>
      <xdr:spPr>
        <a:xfrm>
          <a:off x="552451" y="46891"/>
          <a:ext cx="4239357" cy="3304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400" b="1">
              <a:solidFill>
                <a:srgbClr val="B6C883"/>
              </a:solidFill>
              <a:latin typeface="+mj-lt"/>
            </a:rPr>
            <a:t>Every Other Day Challenges</a:t>
          </a:r>
          <a:r>
            <a:rPr lang="en-AU" sz="1400" b="1" baseline="0">
              <a:solidFill>
                <a:srgbClr val="B6C883"/>
              </a:solidFill>
              <a:latin typeface="+mj-lt"/>
            </a:rPr>
            <a:t> </a:t>
          </a:r>
          <a:r>
            <a:rPr lang="en-AU" sz="1400" b="1">
              <a:solidFill>
                <a:srgbClr val="B6C883"/>
              </a:solidFill>
              <a:latin typeface="+mj-lt"/>
            </a:rPr>
            <a:t>at 9:00 PM (UTC)</a:t>
          </a:r>
        </a:p>
      </xdr:txBody>
    </xdr:sp>
    <xdr:clientData/>
  </xdr:twoCellAnchor>
  <xdr:twoCellAnchor>
    <xdr:from>
      <xdr:col>0</xdr:col>
      <xdr:colOff>0</xdr:colOff>
      <xdr:row>8</xdr:row>
      <xdr:rowOff>168520</xdr:rowOff>
    </xdr:from>
    <xdr:to>
      <xdr:col>1</xdr:col>
      <xdr:colOff>411480</xdr:colOff>
      <xdr:row>12</xdr:row>
      <xdr:rowOff>90562</xdr:rowOff>
    </xdr:to>
    <xdr:sp macro="" textlink="">
      <xdr:nvSpPr>
        <xdr:cNvPr id="5" name="Oval 4">
          <a:extLst>
            <a:ext uri="{FF2B5EF4-FFF2-40B4-BE49-F238E27FC236}">
              <a16:creationId xmlns:a16="http://schemas.microsoft.com/office/drawing/2014/main" id="{77D70A59-8EE8-A34C-9ACD-6A3FC2B8F7B1}"/>
            </a:ext>
          </a:extLst>
        </xdr:cNvPr>
        <xdr:cNvSpPr/>
      </xdr:nvSpPr>
      <xdr:spPr>
        <a:xfrm>
          <a:off x="0" y="1978270"/>
          <a:ext cx="623961" cy="684042"/>
        </a:xfrm>
        <a:prstGeom prst="ellipse">
          <a:avLst/>
        </a:prstGeom>
        <a:blipFill>
          <a:blip xmlns:r="http://schemas.openxmlformats.org/officeDocument/2006/relationships" r:embed="rId4"/>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2</xdr:col>
      <xdr:colOff>259374</xdr:colOff>
      <xdr:row>18</xdr:row>
      <xdr:rowOff>146537</xdr:rowOff>
    </xdr:from>
    <xdr:to>
      <xdr:col>5</xdr:col>
      <xdr:colOff>193432</xdr:colOff>
      <xdr:row>20</xdr:row>
      <xdr:rowOff>82059</xdr:rowOff>
    </xdr:to>
    <xdr:grpSp>
      <xdr:nvGrpSpPr>
        <xdr:cNvPr id="13" name="Group 12">
          <a:extLst>
            <a:ext uri="{FF2B5EF4-FFF2-40B4-BE49-F238E27FC236}">
              <a16:creationId xmlns:a16="http://schemas.microsoft.com/office/drawing/2014/main" id="{082E4F4C-40E2-6132-9B9F-F8090E5A72A9}"/>
            </a:ext>
          </a:extLst>
        </xdr:cNvPr>
        <xdr:cNvGrpSpPr/>
      </xdr:nvGrpSpPr>
      <xdr:grpSpPr>
        <a:xfrm>
          <a:off x="1834662" y="3861287"/>
          <a:ext cx="1304193" cy="316522"/>
          <a:chOff x="4173415" y="2989386"/>
          <a:chExt cx="1424354" cy="287215"/>
        </a:xfrm>
      </xdr:grpSpPr>
      <xdr:sp macro="" textlink="">
        <xdr:nvSpPr>
          <xdr:cNvPr id="12" name="Rectangle 11">
            <a:extLst>
              <a:ext uri="{FF2B5EF4-FFF2-40B4-BE49-F238E27FC236}">
                <a16:creationId xmlns:a16="http://schemas.microsoft.com/office/drawing/2014/main" id="{8EC763AF-0CAF-7266-DC6F-FD80BDC1339C}"/>
              </a:ext>
            </a:extLst>
          </xdr:cNvPr>
          <xdr:cNvSpPr/>
        </xdr:nvSpPr>
        <xdr:spPr>
          <a:xfrm>
            <a:off x="4173415" y="2989386"/>
            <a:ext cx="1424354" cy="287215"/>
          </a:xfrm>
          <a:prstGeom prst="rect">
            <a:avLst/>
          </a:prstGeom>
          <a:solidFill>
            <a:schemeClr val="bg1"/>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52576E96-BBA7-C48E-0384-5368E88E449B}"/>
              </a:ext>
            </a:extLst>
          </xdr:cNvPr>
          <xdr:cNvSpPr/>
        </xdr:nvSpPr>
        <xdr:spPr>
          <a:xfrm>
            <a:off x="4226169" y="3018694"/>
            <a:ext cx="1325880" cy="219456"/>
          </a:xfrm>
          <a:prstGeom prst="roundRect">
            <a:avLst/>
          </a:prstGeom>
          <a:blipFill>
            <a:blip xmlns:r="http://schemas.openxmlformats.org/officeDocument/2006/relationships" r:embed="rId6"/>
            <a:stretch>
              <a:fillRect/>
            </a:stretch>
          </a:blipFill>
          <a:ln>
            <a:noFill/>
          </a:ln>
          <a:effectLst>
            <a:softEdge rad="0"/>
          </a:effectLst>
          <a:scene3d>
            <a:camera prst="orthographicFront"/>
            <a:lightRig rig="threePt" dir="t"/>
          </a:scene3d>
          <a:sp3d prstMaterial="powder">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clientData/>
  </xdr:twoCellAnchor>
  <xdr:twoCellAnchor>
    <xdr:from>
      <xdr:col>1</xdr:col>
      <xdr:colOff>254977</xdr:colOff>
      <xdr:row>18</xdr:row>
      <xdr:rowOff>114299</xdr:rowOff>
    </xdr:from>
    <xdr:to>
      <xdr:col>2</xdr:col>
      <xdr:colOff>196364</xdr:colOff>
      <xdr:row>20</xdr:row>
      <xdr:rowOff>49822</xdr:rowOff>
    </xdr:to>
    <xdr:grpSp>
      <xdr:nvGrpSpPr>
        <xdr:cNvPr id="15" name="Group 14">
          <a:hlinkClick xmlns:r="http://schemas.openxmlformats.org/officeDocument/2006/relationships" r:id="rId7"/>
          <a:extLst>
            <a:ext uri="{FF2B5EF4-FFF2-40B4-BE49-F238E27FC236}">
              <a16:creationId xmlns:a16="http://schemas.microsoft.com/office/drawing/2014/main" id="{E14932E4-FF36-3544-AE86-825BF7AD45E5}"/>
            </a:ext>
          </a:extLst>
        </xdr:cNvPr>
        <xdr:cNvGrpSpPr/>
      </xdr:nvGrpSpPr>
      <xdr:grpSpPr>
        <a:xfrm>
          <a:off x="467458" y="3829049"/>
          <a:ext cx="1304194" cy="316523"/>
          <a:chOff x="4161693" y="3259013"/>
          <a:chExt cx="1424354" cy="287215"/>
        </a:xfrm>
      </xdr:grpSpPr>
      <xdr:sp macro="" textlink="">
        <xdr:nvSpPr>
          <xdr:cNvPr id="14" name="Rectangle 13">
            <a:extLst>
              <a:ext uri="{FF2B5EF4-FFF2-40B4-BE49-F238E27FC236}">
                <a16:creationId xmlns:a16="http://schemas.microsoft.com/office/drawing/2014/main" id="{44DDA419-8ABA-4112-A4A1-D2C14FE923DA}"/>
              </a:ext>
            </a:extLst>
          </xdr:cNvPr>
          <xdr:cNvSpPr/>
        </xdr:nvSpPr>
        <xdr:spPr>
          <a:xfrm>
            <a:off x="4161693" y="3259013"/>
            <a:ext cx="1424354" cy="287215"/>
          </a:xfrm>
          <a:prstGeom prst="rect">
            <a:avLst/>
          </a:prstGeom>
          <a:solidFill>
            <a:schemeClr val="bg1"/>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1" name="Rectangle: Rounded Corners 10">
            <a:extLst>
              <a:ext uri="{FF2B5EF4-FFF2-40B4-BE49-F238E27FC236}">
                <a16:creationId xmlns:a16="http://schemas.microsoft.com/office/drawing/2014/main" id="{4CA53492-FF4E-4899-80FE-7E0AE3F1F4A7}"/>
              </a:ext>
            </a:extLst>
          </xdr:cNvPr>
          <xdr:cNvSpPr/>
        </xdr:nvSpPr>
        <xdr:spPr>
          <a:xfrm>
            <a:off x="4214446" y="3288324"/>
            <a:ext cx="1325880" cy="219456"/>
          </a:xfrm>
          <a:prstGeom prst="roundRect">
            <a:avLst/>
          </a:prstGeom>
          <a:solidFill>
            <a:srgbClr val="B6C883"/>
          </a:solidFill>
          <a:ln>
            <a:noFill/>
          </a:ln>
          <a:effectLst>
            <a:softEdge rad="0"/>
          </a:effectLst>
          <a:scene3d>
            <a:camera prst="orthographicFront"/>
            <a:lightRig rig="threePt" dir="t"/>
          </a:scene3d>
          <a:sp3d prstMaterial="matte">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chemeClr val="tx1"/>
                </a:solidFill>
                <a:latin typeface="Times New Roman" panose="02020603050405020304" pitchFamily="18" charset="0"/>
                <a:cs typeface="Times New Roman" panose="02020603050405020304" pitchFamily="18" charset="0"/>
              </a:rPr>
              <a:t>www.OmidBI.com</a:t>
            </a:r>
          </a:p>
        </xdr:txBody>
      </xdr:sp>
    </xdr:grp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456DC79-4DA2-4BB5-8459-8E5B5401FDDC}" autoFormatId="16" applyNumberFormats="0" applyBorderFormats="0" applyFontFormats="0" applyPatternFormats="0" applyAlignmentFormats="0" applyWidthHeightFormats="0">
  <queryTableRefresh nextId="6">
    <queryTableFields count="3">
      <queryTableField id="1" name="Group #" tableColumnId="1"/>
      <queryTableField id="4" name="Group 1" tableColumnId="4"/>
      <queryTableField id="3" name="Group 2" tableColumnId="3"/>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410770-9505-4506-B24B-50DED8873BAD}" name="Table133" displayName="Table133" ref="F3:H13" totalsRowShown="0" headerRowDxfId="11" headerRowBorderDxfId="10">
  <tableColumns count="3">
    <tableColumn id="1" xr3:uid="{859A4C71-8B90-4008-BBEF-3E70F7E3CFF0}" name="Group #" dataDxfId="9"/>
    <tableColumn id="2" xr3:uid="{B8FDAD0C-F884-41BC-9E76-6A9E5F74F486}" name="Group 1" dataDxfId="8"/>
    <tableColumn id="3" xr3:uid="{15E01D85-BCB5-4D16-86CE-82ED40329632}" name="Group 2"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D4DFDF-6D27-41AC-9030-453DB15223F7}" name="tblStart" displayName="tblStart" ref="B3:B9" totalsRowShown="0" headerRowDxfId="6" dataDxfId="4" headerRowBorderDxfId="5" tableBorderDxfId="3" totalsRowBorderDxfId="2">
  <tableColumns count="1">
    <tableColumn id="1" xr3:uid="{55ED431F-4AD8-4DF7-85D4-88FC916290AF}" name="ID" dataDxfId="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E2FC6A-DB6E-4592-AF5E-59DF69AB3345}" name="tblSolution" displayName="tblSolution" ref="J3:L13" tableType="queryTable" totalsRowShown="0" headerRowDxfId="0">
  <autoFilter ref="J3:L13" xr:uid="{F1E2FC6A-DB6E-4592-AF5E-59DF69AB3345}"/>
  <tableColumns count="3">
    <tableColumn id="1" xr3:uid="{14680E2E-37B5-4DB6-B7FD-F08FCD3E5FB3}" uniqueName="1" name="Group #" queryTableFieldId="1"/>
    <tableColumn id="4" xr3:uid="{604B9EAD-5140-4223-AD8D-5830215D3322}" uniqueName="4" name="Group 1" queryTableFieldId="4"/>
    <tableColumn id="3" xr3:uid="{D26AD445-36B1-459C-8DDF-29C3FADCD74C}" uniqueName="3" name="Group 2" queryTableFieldId="3"/>
  </tableColumns>
  <tableStyleInfo name="TableStyleMedium2" showFirstColumn="0" showLastColumn="0" showRowStripes="1" showColumnStripes="0"/>
</table>
</file>

<file path=xl/theme/theme1.xml><?xml version="1.0" encoding="utf-8"?>
<a:theme xmlns:a="http://schemas.openxmlformats.org/drawingml/2006/main" name="Motyw pakietu Office 2013–2022">
  <a:themeElements>
    <a:clrScheme name="Pakiet Office 2013–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2013–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2013–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3.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hyperlink" Target="http://www.omidb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6"/>
  <sheetViews>
    <sheetView showGridLines="0" tabSelected="1" topLeftCell="F1" zoomScale="130" zoomScaleNormal="130" workbookViewId="0">
      <selection activeCell="M19" sqref="M19"/>
    </sheetView>
  </sheetViews>
  <sheetFormatPr defaultRowHeight="15" x14ac:dyDescent="0.25"/>
  <cols>
    <col min="1" max="1" width="3.140625" customWidth="1"/>
    <col min="2" max="2" width="20.42578125" style="4" customWidth="1"/>
    <col min="3" max="3" width="4.7109375" customWidth="1"/>
    <col min="4" max="4" width="11.140625" customWidth="1"/>
    <col min="5" max="5" width="4.7109375" customWidth="1"/>
    <col min="6" max="6" width="15.85546875" style="5" customWidth="1"/>
    <col min="10" max="10" width="10.85546875" bestFit="1" customWidth="1"/>
    <col min="11" max="11" width="10.28515625" bestFit="1" customWidth="1"/>
    <col min="12" max="13" width="10.85546875" bestFit="1" customWidth="1"/>
    <col min="14" max="14" width="10.140625" bestFit="1" customWidth="1"/>
    <col min="18" max="20" width="10.42578125" bestFit="1" customWidth="1"/>
  </cols>
  <sheetData>
    <row r="1" spans="1:20" ht="30.6" customHeight="1" x14ac:dyDescent="0.25"/>
    <row r="2" spans="1:20" s="6" customFormat="1" ht="22.5" customHeight="1" x14ac:dyDescent="0.25">
      <c r="B2" s="18" t="s">
        <v>0</v>
      </c>
      <c r="D2"/>
      <c r="F2" s="22" t="s">
        <v>1</v>
      </c>
      <c r="G2" s="23"/>
      <c r="H2" s="23"/>
    </row>
    <row r="3" spans="1:20" s="2" customFormat="1" x14ac:dyDescent="0.25">
      <c r="B3" s="20" t="s">
        <v>2</v>
      </c>
      <c r="C3" s="3"/>
      <c r="D3"/>
      <c r="F3" s="19" t="s">
        <v>26</v>
      </c>
      <c r="G3" s="19" t="s">
        <v>27</v>
      </c>
      <c r="H3" s="19" t="s">
        <v>28</v>
      </c>
      <c r="J3" s="2" t="s">
        <v>26</v>
      </c>
      <c r="K3" t="s">
        <v>27</v>
      </c>
      <c r="L3" s="2" t="s">
        <v>28</v>
      </c>
      <c r="N3" s="3" t="str" cm="1">
        <f t="array" ref="N3:P13">_xlfn.LET(
_xlpm._data_,tblStart[ID],
_xlpm._map_, _xlfn.TEXTJOIN(";",1,_xlfn.MAP(_xlpm._data_, _xlfn.LAMBDA(_xlpm.l, _xlfn.LET(_xlpm.filter, _xlfn._xlws.FILTER(_xlpm._data_, _xlpm._data_ &lt;&gt; _xlpm.l), _xlpm.comb, _xlpm.l &amp; ", " &amp; _xlpm.filter, _xlpm.innerMap, _xlfn.MAP(_xlpm.comb, _xlfn.LAMBDA(_xlpm.u, _xlfn.TEXTJOIN(";",1,_xlpm.u &amp;", "&amp; _xlfn.TOROW(_xlfn._xlws.FILTER(_xlpm._data_, (((_xlpm._data_ &lt;&gt; _xlfn.TEXTBEFORE(_xlpm.u, ", "))*(_xlpm._data_ &lt;&gt; _xlfn.TEXTAFTER(_xlpm.u, ", "))))))))), _xlfn.TEXTJOIN(";",1,_xlpm.innerMap))))),
_xlpm._split_, _xlfn.TEXTSPLIT(_xlpm._map_,,";"),
_xlpm._fltr_, _xlfn.UNIQUE(_xlfn.MAP(_xlpm._split_, _xlfn.LAMBDA(_xlpm.s, _xlfn.TEXTJOIN(", ",1,_xlfn._xlws.SORT(_xlfn.TEXTSPLIT(_xlpm.s,", "),,,1))))),
_xlpm._cnt_, COUNTA(_xlpm._fltr_),
_xlpm._rnd_, ROUNDUP(_xlpm._cnt_/2,0),
_xlpm._res_, _xlfn.VSTACK({"Group #","Group 1","Group 2"},_xlfn.HSTACK(_xlfn.SEQUENCE(_xlpm._rnd_,1),_xlfn.TAKE(_xlpm._fltr_,_xlpm._rnd_), INDEX(_xlfn.DROP(_xlpm._fltr_,_xlpm._rnd_,0),_xlfn.SEQUENCE(_xlpm._rnd_,1,_xlpm._rnd_,-1)))), _xlpm._res_)</f>
        <v>Group #</v>
      </c>
      <c r="O3" s="2" t="str">
        <v>Group 1</v>
      </c>
      <c r="P3" s="2" t="str">
        <v>Group 2</v>
      </c>
      <c r="R3" s="2" t="b" cm="1">
        <f t="array" ref="R3:T13">_xlfn.ANCHORARRAY(N3)=tblSolution[#All]</f>
        <v>1</v>
      </c>
      <c r="S3" s="2" t="b">
        <v>1</v>
      </c>
      <c r="T3" s="2" t="b">
        <v>1</v>
      </c>
    </row>
    <row r="4" spans="1:20" s="2" customFormat="1" x14ac:dyDescent="0.25">
      <c r="B4" s="9" t="s">
        <v>21</v>
      </c>
      <c r="C4" s="7"/>
      <c r="D4"/>
      <c r="F4" s="11">
        <v>1</v>
      </c>
      <c r="G4" s="11" t="s">
        <v>29</v>
      </c>
      <c r="H4" s="11" t="s">
        <v>30</v>
      </c>
      <c r="J4">
        <v>1</v>
      </c>
      <c r="K4" t="s">
        <v>29</v>
      </c>
      <c r="L4" t="s">
        <v>30</v>
      </c>
      <c r="N4" s="2">
        <v>1</v>
      </c>
      <c r="O4" s="2" t="str">
        <v>A, B, C</v>
      </c>
      <c r="P4" s="2" t="str">
        <v>D, E, F</v>
      </c>
      <c r="R4" s="2" t="b">
        <v>1</v>
      </c>
      <c r="S4" s="2" t="b">
        <v>1</v>
      </c>
      <c r="T4" s="2" t="b">
        <v>1</v>
      </c>
    </row>
    <row r="5" spans="1:20" s="2" customFormat="1" x14ac:dyDescent="0.25">
      <c r="B5" s="9" t="s">
        <v>22</v>
      </c>
      <c r="C5" s="7"/>
      <c r="D5"/>
      <c r="F5" s="11">
        <v>2</v>
      </c>
      <c r="G5" s="11" t="s">
        <v>31</v>
      </c>
      <c r="H5" s="11" t="s">
        <v>32</v>
      </c>
      <c r="J5">
        <v>2</v>
      </c>
      <c r="K5" t="s">
        <v>31</v>
      </c>
      <c r="L5" t="s">
        <v>32</v>
      </c>
      <c r="N5" s="2">
        <v>2</v>
      </c>
      <c r="O5" s="2" t="str">
        <v>A, B, D</v>
      </c>
      <c r="P5" s="2" t="str">
        <v>C, E, F</v>
      </c>
      <c r="R5" s="2" t="b">
        <v>1</v>
      </c>
      <c r="S5" s="2" t="b">
        <v>1</v>
      </c>
      <c r="T5" s="2" t="b">
        <v>1</v>
      </c>
    </row>
    <row r="6" spans="1:20" s="2" customFormat="1" x14ac:dyDescent="0.25">
      <c r="B6" s="9" t="s">
        <v>23</v>
      </c>
      <c r="C6" s="7"/>
      <c r="D6"/>
      <c r="F6" s="11">
        <v>3</v>
      </c>
      <c r="G6" s="11" t="s">
        <v>33</v>
      </c>
      <c r="H6" s="11" t="s">
        <v>34</v>
      </c>
      <c r="J6">
        <v>3</v>
      </c>
      <c r="K6" t="s">
        <v>33</v>
      </c>
      <c r="L6" t="s">
        <v>34</v>
      </c>
      <c r="N6" s="2">
        <v>3</v>
      </c>
      <c r="O6" s="2" t="str">
        <v>A, B, E</v>
      </c>
      <c r="P6" s="2" t="str">
        <v>C, D, F</v>
      </c>
      <c r="R6" s="2" t="b">
        <v>1</v>
      </c>
      <c r="S6" s="2" t="b">
        <v>1</v>
      </c>
      <c r="T6" s="2" t="b">
        <v>1</v>
      </c>
    </row>
    <row r="7" spans="1:20" s="2" customFormat="1" x14ac:dyDescent="0.25">
      <c r="B7" s="9" t="s">
        <v>24</v>
      </c>
      <c r="C7" s="7"/>
      <c r="D7"/>
      <c r="F7" s="11">
        <v>4</v>
      </c>
      <c r="G7" s="11" t="s">
        <v>35</v>
      </c>
      <c r="H7" s="11" t="s">
        <v>36</v>
      </c>
      <c r="J7">
        <v>4</v>
      </c>
      <c r="K7" t="s">
        <v>35</v>
      </c>
      <c r="L7" t="s">
        <v>36</v>
      </c>
      <c r="N7" s="2">
        <v>4</v>
      </c>
      <c r="O7" s="2" t="str">
        <v>A, B, F</v>
      </c>
      <c r="P7" s="2" t="str">
        <v>C, D, E</v>
      </c>
      <c r="R7" s="2" t="b">
        <v>1</v>
      </c>
      <c r="S7" s="2" t="b">
        <v>1</v>
      </c>
      <c r="T7" s="2" t="b">
        <v>1</v>
      </c>
    </row>
    <row r="8" spans="1:20" s="2" customFormat="1" x14ac:dyDescent="0.25">
      <c r="B8" s="10" t="s">
        <v>25</v>
      </c>
      <c r="C8" s="7"/>
      <c r="D8" s="7"/>
      <c r="E8"/>
      <c r="F8" s="11">
        <v>5</v>
      </c>
      <c r="G8" s="11" t="s">
        <v>37</v>
      </c>
      <c r="H8" s="11" t="s">
        <v>38</v>
      </c>
      <c r="J8">
        <v>5</v>
      </c>
      <c r="K8" t="s">
        <v>37</v>
      </c>
      <c r="L8" t="s">
        <v>38</v>
      </c>
      <c r="N8" s="2">
        <v>5</v>
      </c>
      <c r="O8" s="2" t="str">
        <v>A, C, D</v>
      </c>
      <c r="P8" s="2" t="str">
        <v>B, E, F</v>
      </c>
      <c r="R8" s="2" t="b">
        <v>1</v>
      </c>
      <c r="S8" s="2" t="b">
        <v>1</v>
      </c>
      <c r="T8" s="2" t="b">
        <v>1</v>
      </c>
    </row>
    <row r="9" spans="1:20" s="2" customFormat="1" x14ac:dyDescent="0.25">
      <c r="B9" s="21" t="s">
        <v>20</v>
      </c>
      <c r="C9" s="7"/>
      <c r="D9" s="8"/>
      <c r="E9"/>
      <c r="F9" s="11">
        <v>6</v>
      </c>
      <c r="G9" s="11" t="s">
        <v>39</v>
      </c>
      <c r="H9" s="11" t="s">
        <v>40</v>
      </c>
      <c r="J9">
        <v>6</v>
      </c>
      <c r="K9" t="s">
        <v>39</v>
      </c>
      <c r="L9" t="s">
        <v>40</v>
      </c>
      <c r="N9" s="2">
        <v>6</v>
      </c>
      <c r="O9" s="2" t="str">
        <v>A, C, E</v>
      </c>
      <c r="P9" s="2" t="str">
        <v>B, D, F</v>
      </c>
      <c r="R9" s="2" t="b">
        <v>1</v>
      </c>
      <c r="S9" s="2" t="b">
        <v>1</v>
      </c>
      <c r="T9" s="2" t="b">
        <v>1</v>
      </c>
    </row>
    <row r="10" spans="1:20" x14ac:dyDescent="0.25">
      <c r="C10" s="7"/>
      <c r="D10" s="8"/>
      <c r="F10" s="11">
        <v>7</v>
      </c>
      <c r="G10" s="11" t="s">
        <v>41</v>
      </c>
      <c r="H10" s="11" t="s">
        <v>42</v>
      </c>
      <c r="J10">
        <v>7</v>
      </c>
      <c r="K10" t="s">
        <v>41</v>
      </c>
      <c r="L10" t="s">
        <v>42</v>
      </c>
      <c r="N10">
        <v>7</v>
      </c>
      <c r="O10" t="str">
        <v>A, C, F</v>
      </c>
      <c r="P10" t="str">
        <v>B, D, E</v>
      </c>
      <c r="R10" t="b">
        <v>1</v>
      </c>
      <c r="S10" t="b">
        <v>1</v>
      </c>
      <c r="T10" t="b">
        <v>1</v>
      </c>
    </row>
    <row r="11" spans="1:20" x14ac:dyDescent="0.25">
      <c r="C11" s="7"/>
      <c r="D11" s="8"/>
      <c r="F11" s="11">
        <v>8</v>
      </c>
      <c r="G11" s="11" t="s">
        <v>43</v>
      </c>
      <c r="H11" s="11" t="s">
        <v>44</v>
      </c>
      <c r="J11">
        <v>8</v>
      </c>
      <c r="K11" t="s">
        <v>43</v>
      </c>
      <c r="L11" t="s">
        <v>44</v>
      </c>
      <c r="N11">
        <v>8</v>
      </c>
      <c r="O11" t="str">
        <v>A, D, E</v>
      </c>
      <c r="P11" t="str">
        <v>B, C, F</v>
      </c>
      <c r="R11" t="b">
        <v>1</v>
      </c>
      <c r="S11" t="b">
        <v>1</v>
      </c>
      <c r="T11" t="b">
        <v>1</v>
      </c>
    </row>
    <row r="12" spans="1:20" x14ac:dyDescent="0.25">
      <c r="A12" s="1"/>
      <c r="C12" s="7"/>
      <c r="D12" s="8"/>
      <c r="F12" s="11">
        <v>9</v>
      </c>
      <c r="G12" s="11" t="s">
        <v>45</v>
      </c>
      <c r="H12" s="11" t="s">
        <v>46</v>
      </c>
      <c r="J12">
        <v>9</v>
      </c>
      <c r="K12" t="s">
        <v>45</v>
      </c>
      <c r="L12" t="s">
        <v>46</v>
      </c>
      <c r="N12">
        <v>9</v>
      </c>
      <c r="O12" t="str">
        <v>A, D, F</v>
      </c>
      <c r="P12" t="str">
        <v>B, C, E</v>
      </c>
      <c r="R12" t="b">
        <v>1</v>
      </c>
      <c r="S12" t="b">
        <v>1</v>
      </c>
      <c r="T12" t="b">
        <v>1</v>
      </c>
    </row>
    <row r="13" spans="1:20" x14ac:dyDescent="0.25">
      <c r="A13" s="1"/>
      <c r="C13" s="7"/>
      <c r="D13" s="8"/>
      <c r="F13" s="11">
        <v>10</v>
      </c>
      <c r="G13" s="11" t="s">
        <v>47</v>
      </c>
      <c r="H13" s="11" t="s">
        <v>48</v>
      </c>
      <c r="J13">
        <v>10</v>
      </c>
      <c r="K13" t="s">
        <v>47</v>
      </c>
      <c r="L13" t="s">
        <v>48</v>
      </c>
      <c r="N13">
        <v>10</v>
      </c>
      <c r="O13" t="str">
        <v>A, E, F</v>
      </c>
      <c r="P13" t="str">
        <v>B, C, D</v>
      </c>
      <c r="R13" t="b">
        <v>1</v>
      </c>
      <c r="S13" t="b">
        <v>1</v>
      </c>
      <c r="T13" t="b">
        <v>1</v>
      </c>
    </row>
    <row r="14" spans="1:20" x14ac:dyDescent="0.25">
      <c r="A14" s="1"/>
      <c r="C14" s="7"/>
      <c r="D14" s="8"/>
    </row>
    <row r="15" spans="1:20" x14ac:dyDescent="0.25">
      <c r="A15" s="1"/>
      <c r="C15" s="7"/>
      <c r="D15" s="8"/>
    </row>
    <row r="16" spans="1:20" x14ac:dyDescent="0.25">
      <c r="A16" s="1"/>
      <c r="C16" s="7"/>
      <c r="D16" s="8"/>
      <c r="J16" t="b" cm="1">
        <f t="array" ref="J16:L26">tblSolution[#All]=Table133[#All]</f>
        <v>1</v>
      </c>
      <c r="K16" t="b">
        <v>1</v>
      </c>
      <c r="L16" t="b">
        <v>1</v>
      </c>
    </row>
    <row r="17" spans="1:14" x14ac:dyDescent="0.25">
      <c r="A17" s="1"/>
      <c r="C17" s="7"/>
      <c r="D17" s="1"/>
      <c r="J17" t="b">
        <v>1</v>
      </c>
      <c r="K17" t="b">
        <v>1</v>
      </c>
      <c r="L17" t="b">
        <v>1</v>
      </c>
      <c r="N17" t="e">
        <f>NA()</f>
        <v>#N/A</v>
      </c>
    </row>
    <row r="18" spans="1:14" x14ac:dyDescent="0.25">
      <c r="A18" s="1"/>
      <c r="C18" s="7"/>
      <c r="D18" s="1"/>
      <c r="J18" t="b">
        <v>1</v>
      </c>
      <c r="K18" t="b">
        <v>1</v>
      </c>
      <c r="L18" t="b">
        <v>1</v>
      </c>
    </row>
    <row r="19" spans="1:14" x14ac:dyDescent="0.25">
      <c r="A19" s="1"/>
      <c r="C19" s="7"/>
      <c r="D19" s="1"/>
      <c r="H19" s="2"/>
      <c r="J19" t="b">
        <v>1</v>
      </c>
      <c r="K19" t="b">
        <v>1</v>
      </c>
      <c r="L19" t="b">
        <v>1</v>
      </c>
      <c r="N19" t="e">
        <f>N17=NA()</f>
        <v>#N/A</v>
      </c>
    </row>
    <row r="20" spans="1:14" x14ac:dyDescent="0.25">
      <c r="A20" s="1"/>
      <c r="C20" s="7"/>
      <c r="D20" s="1"/>
      <c r="J20" t="b">
        <v>1</v>
      </c>
      <c r="K20" t="b">
        <v>1</v>
      </c>
      <c r="L20" t="b">
        <v>1</v>
      </c>
    </row>
    <row r="21" spans="1:14" x14ac:dyDescent="0.25">
      <c r="C21" s="7"/>
      <c r="D21" s="1"/>
      <c r="J21" t="b">
        <v>1</v>
      </c>
      <c r="K21" t="b">
        <v>1</v>
      </c>
      <c r="L21" t="b">
        <v>1</v>
      </c>
    </row>
    <row r="22" spans="1:14" x14ac:dyDescent="0.25">
      <c r="C22" s="7"/>
      <c r="D22" s="1"/>
      <c r="J22" t="b">
        <v>1</v>
      </c>
      <c r="K22" t="b">
        <v>1</v>
      </c>
      <c r="L22" t="b">
        <v>1</v>
      </c>
    </row>
    <row r="23" spans="1:14" x14ac:dyDescent="0.25">
      <c r="C23" s="7"/>
      <c r="J23" t="b">
        <v>1</v>
      </c>
      <c r="K23" t="b">
        <v>1</v>
      </c>
      <c r="L23" t="b">
        <v>1</v>
      </c>
    </row>
    <row r="24" spans="1:14" x14ac:dyDescent="0.25">
      <c r="J24" t="b">
        <v>1</v>
      </c>
      <c r="K24" t="b">
        <v>1</v>
      </c>
      <c r="L24" t="b">
        <v>1</v>
      </c>
    </row>
    <row r="25" spans="1:14" x14ac:dyDescent="0.25">
      <c r="J25" t="b">
        <v>1</v>
      </c>
      <c r="K25" t="b">
        <v>1</v>
      </c>
      <c r="L25" t="b">
        <v>1</v>
      </c>
    </row>
    <row r="26" spans="1:14" x14ac:dyDescent="0.25">
      <c r="J26" t="b">
        <v>1</v>
      </c>
      <c r="K26" t="b">
        <v>1</v>
      </c>
      <c r="L26" t="b">
        <v>1</v>
      </c>
    </row>
  </sheetData>
  <sortState xmlns:xlrd2="http://schemas.microsoft.com/office/spreadsheetml/2017/richdata2" ref="B4:B8">
    <sortCondition ref="B8"/>
  </sortState>
  <mergeCells count="1">
    <mergeCell ref="F2:H2"/>
  </mergeCells>
  <phoneticPr fontId="1" type="noConversion"/>
  <pageMargins left="0.7" right="0.7" top="0.75" bottom="0.75" header="0.3" footer="0.3"/>
  <pageSetup paperSize="9" orientation="portrait" r:id="rId1"/>
  <drawing r:id="rId2"/>
  <tableParts count="3">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EEE7A-1EA6-4A77-85D6-2C544F5C66AE}">
  <sheetPr>
    <tabColor rgb="FFFF0000"/>
  </sheetPr>
  <dimension ref="A1:B16"/>
  <sheetViews>
    <sheetView showGridLines="0" workbookViewId="0">
      <selection activeCell="A3" sqref="A3"/>
    </sheetView>
  </sheetViews>
  <sheetFormatPr defaultRowHeight="15" x14ac:dyDescent="0.25"/>
  <cols>
    <col min="1" max="1" width="85.28515625" customWidth="1"/>
    <col min="2" max="2" width="21.85546875" customWidth="1"/>
  </cols>
  <sheetData>
    <row r="1" spans="1:2" ht="22.5" x14ac:dyDescent="0.25">
      <c r="A1" s="15" t="s">
        <v>9</v>
      </c>
      <c r="B1" s="2"/>
    </row>
    <row r="2" spans="1:2" ht="37.5" x14ac:dyDescent="0.25">
      <c r="A2" s="13" t="s">
        <v>19</v>
      </c>
      <c r="B2" s="2"/>
    </row>
    <row r="3" spans="1:2" ht="37.5" x14ac:dyDescent="0.35">
      <c r="A3" s="13" t="s">
        <v>12</v>
      </c>
      <c r="B3" s="17" t="s">
        <v>8</v>
      </c>
    </row>
    <row r="4" spans="1:2" ht="37.5" x14ac:dyDescent="0.25">
      <c r="A4" s="12" t="s">
        <v>13</v>
      </c>
      <c r="B4" s="2"/>
    </row>
    <row r="5" spans="1:2" ht="37.5" x14ac:dyDescent="0.25">
      <c r="A5" s="12" t="s">
        <v>14</v>
      </c>
      <c r="B5" s="2"/>
    </row>
    <row r="6" spans="1:2" ht="37.5" x14ac:dyDescent="0.25">
      <c r="A6" s="12" t="s">
        <v>15</v>
      </c>
      <c r="B6" s="2"/>
    </row>
    <row r="7" spans="1:2" ht="22.5" x14ac:dyDescent="0.25">
      <c r="A7" s="15" t="s">
        <v>3</v>
      </c>
      <c r="B7" s="2"/>
    </row>
    <row r="8" spans="1:2" ht="18.75" x14ac:dyDescent="0.25">
      <c r="A8" s="12" t="s">
        <v>4</v>
      </c>
      <c r="B8" s="2"/>
    </row>
    <row r="9" spans="1:2" ht="18.75" x14ac:dyDescent="0.25">
      <c r="A9" s="14" t="s">
        <v>16</v>
      </c>
      <c r="B9" s="2"/>
    </row>
    <row r="10" spans="1:2" ht="18.75" x14ac:dyDescent="0.25">
      <c r="A10" s="14" t="s">
        <v>10</v>
      </c>
      <c r="B10" s="2"/>
    </row>
    <row r="11" spans="1:2" ht="22.5" x14ac:dyDescent="0.25">
      <c r="A11" s="15" t="s">
        <v>5</v>
      </c>
      <c r="B11" s="2"/>
    </row>
    <row r="12" spans="1:2" ht="37.5" x14ac:dyDescent="0.25">
      <c r="A12" s="12" t="s">
        <v>17</v>
      </c>
      <c r="B12" s="2"/>
    </row>
    <row r="13" spans="1:2" ht="18.75" x14ac:dyDescent="0.3">
      <c r="A13" s="14" t="s">
        <v>11</v>
      </c>
      <c r="B13" s="16" t="str">
        <f>HYPERLINK("https://docs.google.com/forms/d/e/1FAIpQLSenkFJw7PjqMlL5f4xHx1KkzeZZRSB8vU92w6mFH6a_daa9pw/viewform?usp=header","Link to Form")</f>
        <v>Link to Form</v>
      </c>
    </row>
    <row r="14" spans="1:2" ht="18.75" x14ac:dyDescent="0.25">
      <c r="A14" s="14" t="s">
        <v>18</v>
      </c>
      <c r="B14" s="2"/>
    </row>
    <row r="15" spans="1:2" ht="22.5" x14ac:dyDescent="0.25">
      <c r="A15" s="15" t="s">
        <v>6</v>
      </c>
      <c r="B15" s="2"/>
    </row>
    <row r="16" spans="1:2" ht="37.5" x14ac:dyDescent="0.25">
      <c r="A16" s="12" t="s">
        <v>7</v>
      </c>
      <c r="B16" s="2"/>
    </row>
  </sheetData>
  <hyperlinks>
    <hyperlink ref="B3" r:id="rId1" xr:uid="{10720F54-BED7-4DB6-9CEF-C3B7B5976E9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D0C25D9-7A35-435C-9988-131C973837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352</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Omid Motamedisedeh</dc:creator>
  <cp:lastModifiedBy>Maciej Kopczyński</cp:lastModifiedBy>
  <cp:lastPrinted>2024-01-31T23:46:52Z</cp:lastPrinted>
  <dcterms:created xsi:type="dcterms:W3CDTF">2015-06-05T18:17:20Z</dcterms:created>
  <dcterms:modified xsi:type="dcterms:W3CDTF">2026-01-06T11:31:56Z</dcterms:modified>
</cp:coreProperties>
</file>