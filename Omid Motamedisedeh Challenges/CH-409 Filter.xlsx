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05"/>
  <workbookPr codeName="Ten_skoroszyt"/>
  <mc:AlternateContent xmlns:mc="http://schemas.openxmlformats.org/markup-compatibility/2006">
    <mc:Choice Requires="x15">
      <x15ac:absPath xmlns:x15ac="http://schemas.microsoft.com/office/spreadsheetml/2010/11/ac" url="https://d.docs.live.net/29f448ec057303af/== Github Repos/Challenges/Omid Motamedisedeh Challenges/"/>
    </mc:Choice>
  </mc:AlternateContent>
  <xr:revisionPtr revIDLastSave="79" documentId="8_{E29977C4-113F-419B-897D-562383C8282A}" xr6:coauthVersionLast="47" xr6:coauthVersionMax="47" xr10:uidLastSave="{CC1156FF-330E-48C1-BC28-E93CDA23D0C8}"/>
  <bookViews>
    <workbookView xWindow="-120" yWindow="-120" windowWidth="29040" windowHeight="15720" xr2:uid="{00000000-000D-0000-FFFF-FFFF00000000}"/>
  </bookViews>
  <sheets>
    <sheet name="409" sheetId="1" r:id="rId1"/>
    <sheet name="README" sheetId="2" r:id="rId2"/>
  </sheets>
  <definedNames>
    <definedName name="_xlnm._FilterDatabase" localSheetId="0" hidden="1">'409'!$B$3:$C$23</definedName>
    <definedName name="ExternalData_1" localSheetId="0" hidden="1">'409'!$J$3:$J$5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 a="1"/>
  <c r="M3" i="1" s="1" a="1"/>
  <c r="H3" i="1" a="1"/>
  <c r="K3" i="1" a="1"/>
  <c r="B13" i="2"/>
  <c r="I3" i="1" l="1" a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94A0E38-AE51-4C47-8504-C86F94DF3FAD}" keepAlive="1" name="Zapytanie — tblSolution" description="Połączenie z zapytaniem „tblSolution” w skoroszycie." type="5" refreshedVersion="8" background="1" saveData="1">
    <dbPr connection="Provider=Microsoft.Mashup.OleDb.1;Data Source=$Workbook$;Location=tblSolution;Extended Properties=&quot;&quot;" command="SELECT * FROM [tblSolution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  <pythonScripts>
    <pythonScript>
      <code>df = xl(%P2%, headers = True)
def fxCheckCon(t):
    t = ''.join([x for x in t if x in [str(j) for j in range(0,11)]])
    if t == '':
        t = '0'
    return (int(t[0]) %% 2 == 0 and int(t[-1]) %% 2 != 0)
df = df[df['ID'].apply(fxCheckCon)].reset_index(drop = True)
df</code>
    </pythonScript>
  </pythonScripts>
</python>
</file>

<file path=xl/sharedStrings.xml><?xml version="1.0" encoding="utf-8"?>
<sst xmlns="http://schemas.openxmlformats.org/spreadsheetml/2006/main" count="33" uniqueCount="27">
  <si>
    <t>Question</t>
  </si>
  <si>
    <t>Result</t>
  </si>
  <si>
    <t>🧩 Adding Explanations</t>
  </si>
  <si>
    <t>If you want to include explanations or extra notes:</t>
  </si>
  <si>
    <t>🌐 Sharing External Content</t>
  </si>
  <si>
    <t>🗣 Feedback</t>
  </si>
  <si>
    <t>I always appreciate your feedback — feel free to share any suggestions or ideas for improvement.</t>
  </si>
  <si>
    <t>www.OmidBI.com</t>
  </si>
  <si>
    <t>Challenge Overview</t>
  </si>
  <si>
    <t>Start your extra explanation after the hashtag #Explanations.</t>
  </si>
  <si>
    <t xml:space="preserve">You are welcome to submit it using the following submission link </t>
  </si>
  <si>
    <r>
      <t>Website:</t>
    </r>
    <r>
      <rPr>
        <sz val="14"/>
        <color theme="1"/>
        <rFont val="Times New Roman"/>
        <family val="1"/>
      </rPr>
      <t xml:space="preserve"> All challenges </t>
    </r>
    <r>
      <rPr>
        <b/>
        <sz val="14"/>
        <color theme="1"/>
        <rFont val="Times New Roman"/>
        <family val="1"/>
      </rPr>
      <t>and their solutions</t>
    </r>
    <r>
      <rPr>
        <sz val="14"/>
        <color theme="1"/>
        <rFont val="Times New Roman"/>
        <family val="1"/>
      </rPr>
      <t xml:space="preserve"> are also available on my website:</t>
    </r>
  </si>
  <si>
    <r>
      <t xml:space="preserve">Please </t>
    </r>
    <r>
      <rPr>
        <b/>
        <sz val="14"/>
        <color theme="1"/>
        <rFont val="Times New Roman"/>
        <family val="1"/>
      </rPr>
      <t>post your solution in the comments</t>
    </r>
    <r>
      <rPr>
        <sz val="14"/>
        <color theme="1"/>
        <rFont val="Times New Roman"/>
        <family val="1"/>
      </rPr>
      <t xml:space="preserve"> under the challenge post </t>
    </r>
    <r>
      <rPr>
        <b/>
        <sz val="14"/>
        <color theme="1"/>
        <rFont val="Times New Roman"/>
        <family val="1"/>
      </rPr>
      <t>using your full name</t>
    </r>
    <r>
      <rPr>
        <sz val="14"/>
        <color theme="1"/>
        <rFont val="Times New Roman"/>
        <family val="1"/>
      </rPr>
      <t>.</t>
    </r>
  </si>
  <si>
    <r>
      <t xml:space="preserve">To keep everything organized, </t>
    </r>
    <r>
      <rPr>
        <b/>
        <sz val="14"/>
        <color theme="1"/>
        <rFont val="Times New Roman"/>
        <family val="1"/>
      </rPr>
      <t>submit each solution in a separate comment</t>
    </r>
    <r>
      <rPr>
        <sz val="14"/>
        <color theme="1"/>
        <rFont val="Times New Roman"/>
        <family val="1"/>
      </rPr>
      <t>.</t>
    </r>
  </si>
  <si>
    <r>
      <t xml:space="preserve">Mention the </t>
    </r>
    <r>
      <rPr>
        <b/>
        <sz val="14"/>
        <color theme="1"/>
        <rFont val="Times New Roman"/>
        <family val="1"/>
      </rPr>
      <t>tools</t>
    </r>
    <r>
      <rPr>
        <sz val="14"/>
        <color theme="1"/>
        <rFont val="Times New Roman"/>
        <family val="1"/>
      </rPr>
      <t xml:space="preserve"> you used in your solution using hashtags — for example: #Python or #DAX at the beginning of comment cell</t>
    </r>
  </si>
  <si>
    <r>
      <t xml:space="preserve">Add them </t>
    </r>
    <r>
      <rPr>
        <b/>
        <sz val="14"/>
        <color theme="1"/>
        <rFont val="Times New Roman"/>
        <family val="1"/>
      </rPr>
      <t>at the end of your solution</t>
    </r>
    <r>
      <rPr>
        <sz val="14"/>
        <color theme="1"/>
        <rFont val="Times New Roman"/>
        <family val="1"/>
      </rPr>
      <t xml:space="preserve"> in the </t>
    </r>
    <r>
      <rPr>
        <b/>
        <sz val="14"/>
        <color theme="1"/>
        <rFont val="Times New Roman"/>
        <family val="1"/>
      </rPr>
      <t>same comment</t>
    </r>
    <r>
      <rPr>
        <sz val="14"/>
        <color theme="1"/>
        <rFont val="Times New Roman"/>
        <family val="1"/>
      </rPr>
      <t>.</t>
    </r>
  </si>
  <si>
    <r>
      <t xml:space="preserve">If you create a </t>
    </r>
    <r>
      <rPr>
        <b/>
        <sz val="14"/>
        <color theme="1"/>
        <rFont val="Times New Roman"/>
        <family val="1"/>
      </rPr>
      <t>YouTube video</t>
    </r>
    <r>
      <rPr>
        <sz val="14"/>
        <color theme="1"/>
        <rFont val="Times New Roman"/>
        <family val="1"/>
      </rPr>
      <t xml:space="preserve">, </t>
    </r>
    <r>
      <rPr>
        <b/>
        <sz val="14"/>
        <color theme="1"/>
        <rFont val="Times New Roman"/>
        <family val="1"/>
      </rPr>
      <t>blog post</t>
    </r>
    <r>
      <rPr>
        <sz val="14"/>
        <color theme="1"/>
        <rFont val="Times New Roman"/>
        <family val="1"/>
      </rPr>
      <t>, or any other external explanation based on the challenge:</t>
    </r>
  </si>
  <si>
    <r>
      <t xml:space="preserve">Your work will be shared on the website </t>
    </r>
    <r>
      <rPr>
        <b/>
        <sz val="14"/>
        <color theme="1"/>
        <rFont val="Times New Roman"/>
        <family val="1"/>
      </rPr>
      <t>under your name</t>
    </r>
    <r>
      <rPr>
        <sz val="14"/>
        <color theme="1"/>
        <rFont val="Times New Roman"/>
        <family val="1"/>
      </rPr>
      <t>.</t>
    </r>
  </si>
  <si>
    <r>
      <t>Frequency:</t>
    </r>
    <r>
      <rPr>
        <sz val="14"/>
        <color theme="1"/>
        <rFont val="Times New Roman"/>
        <family val="1"/>
      </rPr>
      <t xml:space="preserve"> New challenges are posted </t>
    </r>
    <r>
      <rPr>
        <b/>
        <sz val="14"/>
        <color theme="1"/>
        <rFont val="Times New Roman"/>
        <family val="1"/>
      </rPr>
      <t>every other day</t>
    </r>
    <r>
      <rPr>
        <sz val="14"/>
        <color theme="1"/>
        <rFont val="Times New Roman"/>
        <family val="1"/>
      </rPr>
      <t xml:space="preserve"> at </t>
    </r>
    <r>
      <rPr>
        <b/>
        <sz val="14"/>
        <color theme="1"/>
        <rFont val="Times New Roman"/>
        <family val="1"/>
      </rPr>
      <t>9:00 PM (UTC)</t>
    </r>
    <r>
      <rPr>
        <sz val="14"/>
        <color theme="1"/>
        <rFont val="Times New Roman"/>
        <family val="1"/>
      </rPr>
      <t xml:space="preserve"> on my LinkedIn page.</t>
    </r>
  </si>
  <si>
    <t>ID</t>
  </si>
  <si>
    <t>XY2468</t>
  </si>
  <si>
    <t>PQ1357</t>
  </si>
  <si>
    <t>LM1023</t>
  </si>
  <si>
    <t>GH9087</t>
  </si>
  <si>
    <t>AB2467</t>
  </si>
  <si>
    <t>ST2461</t>
  </si>
  <si>
    <t>AA12234a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</si>
</sst>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3" x14ac:knownFonts="1">
    <font>
      <sz val="11"/>
      <color theme="1"/>
      <name val="Century Gothic"/>
      <family val="2"/>
      <scheme val="minor"/>
    </font>
    <font>
      <sz val="8"/>
      <name val="Century Gothic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entury Gothic"/>
      <family val="1"/>
      <scheme val="minor"/>
    </font>
    <font>
      <b/>
      <sz val="11"/>
      <color theme="0"/>
      <name val="Century Gothic"/>
      <family val="1"/>
      <scheme val="minor"/>
    </font>
    <font>
      <sz val="11"/>
      <color theme="1" tint="4.9989318521683403E-2"/>
      <name val="Times New Roman"/>
      <family val="1"/>
    </font>
    <font>
      <b/>
      <sz val="11"/>
      <color theme="1" tint="4.9989318521683403E-2"/>
      <name val="Times New Roman"/>
      <family val="1"/>
    </font>
    <font>
      <u/>
      <sz val="11"/>
      <color theme="10"/>
      <name val="Century Gothic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b/>
      <sz val="18"/>
      <color rgb="FF0070C0"/>
      <name val="Times New Roman"/>
      <family val="1"/>
    </font>
    <font>
      <b/>
      <u/>
      <sz val="14"/>
      <color rgb="FF0070C0"/>
      <name val="Century Gothic"/>
      <family val="2"/>
      <scheme val="minor"/>
    </font>
    <font>
      <b/>
      <u/>
      <sz val="16"/>
      <color rgb="FF0070C0"/>
      <name val="Century Gothic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323C50"/>
        <bgColor indexed="64"/>
      </patternFill>
    </fill>
    <fill>
      <patternFill patternType="solid">
        <fgColor rgb="FF8191B1"/>
        <bgColor indexed="64"/>
      </patternFill>
    </fill>
  </fills>
  <borders count="7">
    <border>
      <left/>
      <right/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22">
    <xf numFmtId="0" fontId="0" fillId="0" borderId="0" xfId="0"/>
    <xf numFmtId="14" fontId="0" fillId="0" borderId="0" xfId="0" applyNumberFormat="1"/>
    <xf numFmtId="0" fontId="2" fillId="0" borderId="0" xfId="0" applyFont="1"/>
    <xf numFmtId="1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vertical="center"/>
    </xf>
    <xf numFmtId="4" fontId="2" fillId="0" borderId="0" xfId="0" applyNumberFormat="1" applyFont="1"/>
    <xf numFmtId="4" fontId="0" fillId="0" borderId="0" xfId="0" applyNumberFormat="1"/>
    <xf numFmtId="14" fontId="2" fillId="2" borderId="1" xfId="0" applyNumberFormat="1" applyFont="1" applyFill="1" applyBorder="1" applyAlignment="1">
      <alignment horizontal="center"/>
    </xf>
    <xf numFmtId="0" fontId="7" fillId="0" borderId="0" xfId="1"/>
    <xf numFmtId="0" fontId="9" fillId="0" borderId="0" xfId="0" applyFont="1" applyAlignment="1">
      <alignment horizontal="left" vertical="center" wrapText="1" indent="1"/>
    </xf>
    <xf numFmtId="0" fontId="8" fillId="0" borderId="0" xfId="0" applyFont="1" applyAlignment="1">
      <alignment horizontal="left" vertical="center" wrapText="1" indent="1"/>
    </xf>
    <xf numFmtId="0" fontId="9" fillId="0" borderId="0" xfId="0" applyFont="1" applyAlignment="1">
      <alignment horizontal="left" vertical="center" wrapText="1" indent="2"/>
    </xf>
    <xf numFmtId="0" fontId="10" fillId="0" borderId="0" xfId="0" applyFont="1" applyAlignment="1">
      <alignment vertical="center"/>
    </xf>
    <xf numFmtId="0" fontId="11" fillId="0" borderId="0" xfId="1" applyFont="1"/>
    <xf numFmtId="0" fontId="12" fillId="0" borderId="0" xfId="1" applyFont="1"/>
    <xf numFmtId="0" fontId="5" fillId="4" borderId="2" xfId="0" applyFont="1" applyFill="1" applyBorder="1" applyAlignment="1">
      <alignment horizontal="center"/>
    </xf>
    <xf numFmtId="0" fontId="4" fillId="3" borderId="4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/>
    </xf>
    <xf numFmtId="14" fontId="2" fillId="2" borderId="6" xfId="0" applyNumberFormat="1" applyFont="1" applyFill="1" applyBorder="1" applyAlignment="1">
      <alignment horizontal="center"/>
    </xf>
  </cellXfs>
  <cellStyles count="2">
    <cellStyle name="Hiperłącze" xfId="1" builtinId="8"/>
    <cellStyle name="Normalny" xfId="0" builtinId="0"/>
  </cellStyles>
  <dxfs count="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164" formatCode="m/d/yyyy"/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hair">
          <color auto="1"/>
        </top>
        <bottom style="hair">
          <color auto="1"/>
        </bottom>
      </border>
    </dxf>
    <dxf>
      <border outline="0">
        <top style="hair">
          <color auto="1"/>
        </top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</border>
    </dxf>
    <dxf>
      <fill>
        <patternFill patternType="solid">
          <fgColor indexed="64"/>
          <bgColor theme="0"/>
        </patternFill>
      </fill>
    </dxf>
    <dxf>
      <border outline="0">
        <bottom style="hair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Times New Roman"/>
        <family val="1"/>
        <scheme val="none"/>
      </font>
      <fill>
        <patternFill patternType="solid">
          <fgColor indexed="64"/>
          <bgColor rgb="FF8191B1"/>
        </patternFill>
      </fill>
      <alignment horizontal="center" vertical="bottom" textRotation="0" wrapText="0" indent="0" justifyLastLine="0" shrinkToFit="0" readingOrder="0"/>
      <border diagonalUp="0" diagonalDown="0" outline="0">
        <left style="hair">
          <color auto="1"/>
        </left>
        <right style="hair">
          <color auto="1"/>
        </right>
        <top/>
        <bottom/>
      </border>
    </dxf>
  </dxfs>
  <tableStyles count="1" defaultTableStyle="TableStyleMedium2" defaultPivotStyle="PivotStyleLight16">
    <tableStyle name="Invisible" pivot="0" table="0" count="0" xr9:uid="{E3BACECB-BFC0-4A37-9D21-E6AD0FAE59A5}"/>
  </tableStyles>
  <colors>
    <mruColors>
      <color rgb="FF323C50"/>
      <color rgb="FF8191B1"/>
      <color rgb="FFB6C88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microsoft.com/office/2023/09/relationships/Python" Target="python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linkedin.com/in/omidmot/" TargetMode="External"/><Relationship Id="rId7" Type="http://schemas.openxmlformats.org/officeDocument/2006/relationships/hyperlink" Target="https://www.omidbi.com/" TargetMode="External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4.png"/><Relationship Id="rId5" Type="http://schemas.openxmlformats.org/officeDocument/2006/relationships/hyperlink" Target="https://www.youtube.com/@omidbi?sub_confirmation=1" TargetMode="External"/><Relationship Id="rId4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35170</xdr:colOff>
      <xdr:row>10</xdr:row>
      <xdr:rowOff>123090</xdr:rowOff>
    </xdr:from>
    <xdr:to>
      <xdr:col>8</xdr:col>
      <xdr:colOff>0</xdr:colOff>
      <xdr:row>22</xdr:row>
      <xdr:rowOff>29309</xdr:rowOff>
    </xdr:to>
    <xdr:sp macro="" textlink="">
      <xdr:nvSpPr>
        <xdr:cNvPr id="10" name="Rectangle: Rounded Corners 9">
          <a:extLst>
            <a:ext uri="{FF2B5EF4-FFF2-40B4-BE49-F238E27FC236}">
              <a16:creationId xmlns:a16="http://schemas.microsoft.com/office/drawing/2014/main" id="{7A07FC4F-74BA-4105-D804-04BDA27D0C87}"/>
            </a:ext>
          </a:extLst>
        </xdr:cNvPr>
        <xdr:cNvSpPr/>
      </xdr:nvSpPr>
      <xdr:spPr>
        <a:xfrm>
          <a:off x="35170" y="2489686"/>
          <a:ext cx="5635870" cy="2455988"/>
        </a:xfrm>
        <a:prstGeom prst="roundRect">
          <a:avLst>
            <a:gd name="adj" fmla="val 13595"/>
          </a:avLst>
        </a:prstGeom>
        <a:solidFill>
          <a:srgbClr val="323C50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r>
            <a:rPr lang="en-AU" sz="1600" b="1">
              <a:solidFill>
                <a:schemeClr val="bg1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Challenge 383:  Filter!</a:t>
          </a:r>
        </a:p>
        <a:p>
          <a:b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</a:br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Select IDs where the first digit (from left) is even and the last digit is odd.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Example:</a:t>
          </a:r>
        </a:p>
        <a:p>
          <a:r>
            <a:rPr lang="en-AU" sz="1400" b="1">
              <a:solidFill>
                <a:srgbClr val="FFC000"/>
              </a:solidFill>
              <a:effectLst/>
              <a:latin typeface="Times New Roman" panose="02020603050405020304" pitchFamily="18" charset="0"/>
              <a:ea typeface="+mn-ea"/>
              <a:cs typeface="Times New Roman" panose="02020603050405020304" pitchFamily="18" charset="0"/>
            </a:rPr>
            <a:t>ID 2A34B7 → first digit = 2 (even), last digit = 7 (odd) → Selected</a:t>
          </a:r>
        </a:p>
        <a:p>
          <a:endParaRPr lang="en-AU" sz="1400" b="1">
            <a:solidFill>
              <a:srgbClr val="FFC000"/>
            </a:solidFill>
            <a:effectLst/>
            <a:latin typeface="Times New Roman" panose="02020603050405020304" pitchFamily="18" charset="0"/>
            <a:ea typeface="+mn-ea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0</xdr:col>
      <xdr:colOff>216877</xdr:colOff>
      <xdr:row>0</xdr:row>
      <xdr:rowOff>0</xdr:rowOff>
    </xdr:from>
    <xdr:to>
      <xdr:col>1</xdr:col>
      <xdr:colOff>381000</xdr:colOff>
      <xdr:row>1</xdr:row>
      <xdr:rowOff>5861</xdr:rowOff>
    </xdr:to>
    <xdr:pic>
      <xdr:nvPicPr>
        <xdr:cNvPr id="3" name="Graphic 2" descr="Puzzle with solid fill">
          <a:extLst>
            <a:ext uri="{FF2B5EF4-FFF2-40B4-BE49-F238E27FC236}">
              <a16:creationId xmlns:a16="http://schemas.microsoft.com/office/drawing/2014/main" id="{7C7D27D8-A215-92FF-5288-C8F2DC67F6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216877" y="0"/>
          <a:ext cx="392723" cy="392723"/>
        </a:xfrm>
        <a:prstGeom prst="rect">
          <a:avLst/>
        </a:prstGeom>
      </xdr:spPr>
    </xdr:pic>
    <xdr:clientData/>
  </xdr:twoCellAnchor>
  <xdr:twoCellAnchor>
    <xdr:from>
      <xdr:col>1</xdr:col>
      <xdr:colOff>339969</xdr:colOff>
      <xdr:row>0</xdr:row>
      <xdr:rowOff>46891</xdr:rowOff>
    </xdr:from>
    <xdr:to>
      <xdr:col>8</xdr:col>
      <xdr:colOff>0</xdr:colOff>
      <xdr:row>0</xdr:row>
      <xdr:rowOff>386861</xdr:rowOff>
    </xdr:to>
    <xdr:sp macro="" textlink="">
      <xdr:nvSpPr>
        <xdr:cNvPr id="4" name="Rectangle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4104B81-3970-2E05-04FE-1D2DB0F9480D}"/>
            </a:ext>
          </a:extLst>
        </xdr:cNvPr>
        <xdr:cNvSpPr/>
      </xdr:nvSpPr>
      <xdr:spPr>
        <a:xfrm>
          <a:off x="568569" y="46891"/>
          <a:ext cx="4900247" cy="3399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400" b="1">
              <a:solidFill>
                <a:srgbClr val="B6C883"/>
              </a:solidFill>
              <a:latin typeface="+mj-lt"/>
            </a:rPr>
            <a:t>Every Other Day Challenges</a:t>
          </a:r>
          <a:r>
            <a:rPr lang="en-AU" sz="1400" b="1" baseline="0">
              <a:solidFill>
                <a:srgbClr val="B6C883"/>
              </a:solidFill>
              <a:latin typeface="+mj-lt"/>
            </a:rPr>
            <a:t> </a:t>
          </a:r>
          <a:r>
            <a:rPr lang="en-AU" sz="1400" b="1">
              <a:solidFill>
                <a:srgbClr val="B6C883"/>
              </a:solidFill>
              <a:latin typeface="+mj-lt"/>
            </a:rPr>
            <a:t>at 9:00 PM (UTC)</a:t>
          </a:r>
        </a:p>
      </xdr:txBody>
    </xdr:sp>
    <xdr:clientData/>
  </xdr:twoCellAnchor>
  <xdr:twoCellAnchor>
    <xdr:from>
      <xdr:col>0</xdr:col>
      <xdr:colOff>0</xdr:colOff>
      <xdr:row>9</xdr:row>
      <xdr:rowOff>152402</xdr:rowOff>
    </xdr:from>
    <xdr:to>
      <xdr:col>1</xdr:col>
      <xdr:colOff>411480</xdr:colOff>
      <xdr:row>12</xdr:row>
      <xdr:rowOff>197827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77D70A59-8EE8-A34C-9ACD-6A3FC2B8F7B1}"/>
            </a:ext>
          </a:extLst>
        </xdr:cNvPr>
        <xdr:cNvSpPr/>
      </xdr:nvSpPr>
      <xdr:spPr>
        <a:xfrm>
          <a:off x="0" y="2306517"/>
          <a:ext cx="638615" cy="682868"/>
        </a:xfrm>
        <a:prstGeom prst="ellipse">
          <a:avLst/>
        </a:prstGeom>
        <a:blipFill>
          <a:blip xmlns:r="http://schemas.openxmlformats.org/officeDocument/2006/relationships" r:embed="rId4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AU" sz="1100"/>
        </a:p>
      </xdr:txBody>
    </xdr:sp>
    <xdr:clientData/>
  </xdr:twoCellAnchor>
  <xdr:twoCellAnchor>
    <xdr:from>
      <xdr:col>2</xdr:col>
      <xdr:colOff>65943</xdr:colOff>
      <xdr:row>19</xdr:row>
      <xdr:rowOff>203684</xdr:rowOff>
    </xdr:from>
    <xdr:to>
      <xdr:col>5</xdr:col>
      <xdr:colOff>476251</xdr:colOff>
      <xdr:row>21</xdr:row>
      <xdr:rowOff>139206</xdr:rowOff>
    </xdr:to>
    <xdr:grpSp>
      <xdr:nvGrpSpPr>
        <xdr:cNvPr id="13" name="Group 12">
          <a:extLst>
            <a:ext uri="{FF2B5EF4-FFF2-40B4-BE49-F238E27FC236}">
              <a16:creationId xmlns:a16="http://schemas.microsoft.com/office/drawing/2014/main" id="{082E4F4C-40E2-6132-9B9F-F8090E5A72A9}"/>
            </a:ext>
          </a:extLst>
        </xdr:cNvPr>
        <xdr:cNvGrpSpPr/>
      </xdr:nvGrpSpPr>
      <xdr:grpSpPr>
        <a:xfrm>
          <a:off x="1487366" y="4482607"/>
          <a:ext cx="1465385" cy="360484"/>
          <a:chOff x="4173415" y="2989386"/>
          <a:chExt cx="1424354" cy="287215"/>
        </a:xfrm>
      </xdr:grpSpPr>
      <xdr:sp macro="" textlink="">
        <xdr:nvSpPr>
          <xdr:cNvPr id="12" name="Rectangle 11">
            <a:extLst>
              <a:ext uri="{FF2B5EF4-FFF2-40B4-BE49-F238E27FC236}">
                <a16:creationId xmlns:a16="http://schemas.microsoft.com/office/drawing/2014/main" id="{8EC763AF-0CAF-7266-DC6F-FD80BDC1339C}"/>
              </a:ext>
            </a:extLst>
          </xdr:cNvPr>
          <xdr:cNvSpPr/>
        </xdr:nvSpPr>
        <xdr:spPr>
          <a:xfrm>
            <a:off x="4173415" y="2989386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9" name="Rectangle: Rounded Corners 8">
            <a:hlinkClick xmlns:r="http://schemas.openxmlformats.org/officeDocument/2006/relationships" r:id="rId5"/>
            <a:extLst>
              <a:ext uri="{FF2B5EF4-FFF2-40B4-BE49-F238E27FC236}">
                <a16:creationId xmlns:a16="http://schemas.microsoft.com/office/drawing/2014/main" id="{52576E96-BBA7-C48E-0384-5368E88E449B}"/>
              </a:ext>
            </a:extLst>
          </xdr:cNvPr>
          <xdr:cNvSpPr/>
        </xdr:nvSpPr>
        <xdr:spPr>
          <a:xfrm>
            <a:off x="4226169" y="3018694"/>
            <a:ext cx="1325880" cy="219456"/>
          </a:xfrm>
          <a:prstGeom prst="roundRect">
            <a:avLst/>
          </a:prstGeom>
          <a:blipFill>
            <a:blip xmlns:r="http://schemas.openxmlformats.org/officeDocument/2006/relationships" r:embed="rId6"/>
            <a:stretch>
              <a:fillRect/>
            </a:stretch>
          </a:blip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powder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</xdr:grpSp>
    <xdr:clientData/>
  </xdr:twoCellAnchor>
  <xdr:twoCellAnchor>
    <xdr:from>
      <xdr:col>5</xdr:col>
      <xdr:colOff>662353</xdr:colOff>
      <xdr:row>19</xdr:row>
      <xdr:rowOff>193431</xdr:rowOff>
    </xdr:from>
    <xdr:to>
      <xdr:col>7</xdr:col>
      <xdr:colOff>237392</xdr:colOff>
      <xdr:row>21</xdr:row>
      <xdr:rowOff>128954</xdr:rowOff>
    </xdr:to>
    <xdr:grpSp>
      <xdr:nvGrpSpPr>
        <xdr:cNvPr id="15" name="Group 1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E14932E4-FF36-3544-AE86-825BF7AD45E5}"/>
            </a:ext>
          </a:extLst>
        </xdr:cNvPr>
        <xdr:cNvGrpSpPr/>
      </xdr:nvGrpSpPr>
      <xdr:grpSpPr>
        <a:xfrm>
          <a:off x="3138853" y="4472354"/>
          <a:ext cx="1465385" cy="360485"/>
          <a:chOff x="4161693" y="3259013"/>
          <a:chExt cx="1424354" cy="287215"/>
        </a:xfrm>
      </xdr:grpSpPr>
      <xdr:sp macro="" textlink="">
        <xdr:nvSpPr>
          <xdr:cNvPr id="14" name="Rectangle 13">
            <a:extLst>
              <a:ext uri="{FF2B5EF4-FFF2-40B4-BE49-F238E27FC236}">
                <a16:creationId xmlns:a16="http://schemas.microsoft.com/office/drawing/2014/main" id="{44DDA419-8ABA-4112-A4A1-D2C14FE923DA}"/>
              </a:ext>
            </a:extLst>
          </xdr:cNvPr>
          <xdr:cNvSpPr/>
        </xdr:nvSpPr>
        <xdr:spPr>
          <a:xfrm>
            <a:off x="4161693" y="3259013"/>
            <a:ext cx="1424354" cy="287215"/>
          </a:xfrm>
          <a:prstGeom prst="rect">
            <a:avLst/>
          </a:prstGeom>
          <a:solidFill>
            <a:schemeClr val="bg1"/>
          </a:solidFill>
          <a:ln>
            <a:noFill/>
          </a:ln>
          <a:scene3d>
            <a:camera prst="orthographicFront"/>
            <a:lightRig rig="threePt" dir="t"/>
          </a:scene3d>
          <a:sp3d>
            <a:bevelT w="152400" h="50800" prst="softRound"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AU" sz="1100"/>
          </a:p>
        </xdr:txBody>
      </xdr:sp>
      <xdr:sp macro="" textlink="">
        <xdr:nvSpPr>
          <xdr:cNvPr id="11" name="Rectangle: Rounded Corners 10">
            <a:extLst>
              <a:ext uri="{FF2B5EF4-FFF2-40B4-BE49-F238E27FC236}">
                <a16:creationId xmlns:a16="http://schemas.microsoft.com/office/drawing/2014/main" id="{4CA53492-FF4E-4899-80FE-7E0AE3F1F4A7}"/>
              </a:ext>
            </a:extLst>
          </xdr:cNvPr>
          <xdr:cNvSpPr/>
        </xdr:nvSpPr>
        <xdr:spPr>
          <a:xfrm>
            <a:off x="4214446" y="3288324"/>
            <a:ext cx="1325880" cy="219456"/>
          </a:xfrm>
          <a:prstGeom prst="roundRect">
            <a:avLst/>
          </a:prstGeom>
          <a:solidFill>
            <a:srgbClr val="B6C883"/>
          </a:solidFill>
          <a:ln>
            <a:noFill/>
          </a:ln>
          <a:effectLst>
            <a:softEdge rad="0"/>
          </a:effectLst>
          <a:scene3d>
            <a:camera prst="orthographicFront"/>
            <a:lightRig rig="threePt" dir="t"/>
          </a:scene3d>
          <a:sp3d prstMaterial="matte">
            <a:bevelT/>
          </a:sp3d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AU" sz="1100" b="1">
                <a:solidFill>
                  <a:schemeClr val="tx1"/>
                </a:solidFill>
                <a:latin typeface="Times New Roman" panose="02020603050405020304" pitchFamily="18" charset="0"/>
                <a:cs typeface="Times New Roman" panose="02020603050405020304" pitchFamily="18" charset="0"/>
              </a:rPr>
              <a:t>www.OmidBI.com</a:t>
            </a:r>
          </a:p>
        </xdr:txBody>
      </xdr:sp>
    </xdr:grp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F8B0C4C9-BA8B-4238-842A-90C4BD2FA9CC}" autoFormatId="16" applyNumberFormats="0" applyBorderFormats="0" applyFontFormats="0" applyPatternFormats="0" applyAlignmentFormats="0" applyWidthHeightFormats="0">
  <queryTableRefresh nextId="2">
    <queryTableFields count="1">
      <queryTableField id="1" name="ID" tableColumnId="1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C4004-2774-4C2E-BDDD-F9286DA13AFA}" name="tblStart" displayName="tblStart" ref="B3:B10" totalsRowShown="0" headerRowDxfId="8" dataDxfId="6" headerRowBorderDxfId="7" tableBorderDxfId="5" totalsRowBorderDxfId="4">
  <tableColumns count="1">
    <tableColumn id="1" xr3:uid="{5E176447-D8A8-44E6-956C-FD94787A1101}" name="ID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B1B5855-A23C-4924-86FB-B43B7597335E}" name="tblSolution" displayName="tblSolution" ref="J3:J5" tableType="queryTable" totalsRowShown="0" headerRowDxfId="2" dataDxfId="1">
  <autoFilter ref="J3:J5" xr:uid="{CB1B5855-A23C-4924-86FB-B43B7597335E}"/>
  <tableColumns count="1">
    <tableColumn id="1" xr3:uid="{E045918A-DE31-4689-8F59-280649708C48}" uniqueName="1" name="ID" queryTableFieldId="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isp">
  <a:themeElements>
    <a:clrScheme name="Wisp">
      <a:dk1>
        <a:sysClr val="windowText" lastClr="000000"/>
      </a:dk1>
      <a:lt1>
        <a:sysClr val="window" lastClr="FFFFFF"/>
      </a:lt1>
      <a:dk2>
        <a:srgbClr val="766F54"/>
      </a:dk2>
      <a:lt2>
        <a:srgbClr val="E3EACF"/>
      </a:lt2>
      <a:accent1>
        <a:srgbClr val="A53010"/>
      </a:accent1>
      <a:accent2>
        <a:srgbClr val="DE7E18"/>
      </a:accent2>
      <a:accent3>
        <a:srgbClr val="9F8351"/>
      </a:accent3>
      <a:accent4>
        <a:srgbClr val="728653"/>
      </a:accent4>
      <a:accent5>
        <a:srgbClr val="92AA4C"/>
      </a:accent5>
      <a:accent6>
        <a:srgbClr val="6AAC91"/>
      </a:accent6>
      <a:hlink>
        <a:srgbClr val="FB4A18"/>
      </a:hlink>
      <a:folHlink>
        <a:srgbClr val="FB9318"/>
      </a:folHlink>
    </a:clrScheme>
    <a:fontScheme name="Wisp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Wisp">
      <a:fillStyleLst>
        <a:solidFill>
          <a:schemeClr val="phClr"/>
        </a:solidFill>
        <a:solidFill>
          <a:schemeClr val="phClr">
            <a:tint val="70000"/>
            <a:lumMod val="104000"/>
          </a:schemeClr>
        </a:solidFill>
        <a:gradFill rotWithShape="1">
          <a:gsLst>
            <a:gs pos="0">
              <a:schemeClr val="phClr">
                <a:tint val="96000"/>
                <a:lumMod val="104000"/>
              </a:schemeClr>
            </a:gs>
            <a:gs pos="100000">
              <a:schemeClr val="phClr">
                <a:shade val="98000"/>
                <a:lumMod val="94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shade val="90000"/>
            </a:schemeClr>
          </a:solidFill>
          <a:prstDash val="solid"/>
        </a:ln>
        <a:ln w="15875" cap="rnd" cmpd="sng" algn="ctr">
          <a:solidFill>
            <a:schemeClr val="phClr"/>
          </a:solidFill>
          <a:prstDash val="solid"/>
        </a:ln>
        <a:ln w="2222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38100" dist="25400" dir="5400000" rotWithShape="0">
              <a:srgbClr val="000000">
                <a:alpha val="25000"/>
              </a:srgbClr>
            </a:outerShdw>
          </a:effectLst>
        </a:effectStyle>
        <a:effectStyle>
          <a:effectLst>
            <a:outerShdw blurRad="50800" dist="381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0000"/>
                <a:satMod val="92000"/>
                <a:lumMod val="120000"/>
              </a:schemeClr>
            </a:gs>
            <a:gs pos="100000">
              <a:schemeClr val="phClr">
                <a:shade val="98000"/>
                <a:satMod val="120000"/>
                <a:lumMod val="98000"/>
              </a:schemeClr>
            </a:gs>
          </a:gsLst>
          <a:path path="circle">
            <a:fillToRect l="50000" t="50000" r="100000"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Wisp" id="{7CB32D59-10C0-40DD-B7BD-2E94284A981C}" vid="{24B1A44C-C006-48B2-A4D7-E5549B3D8CD4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omidb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/>
  <dimension ref="A1:M23"/>
  <sheetViews>
    <sheetView showGridLines="0" tabSelected="1" zoomScale="130" zoomScaleNormal="130" workbookViewId="0">
      <selection activeCell="L3" sqref="L3"/>
    </sheetView>
  </sheetViews>
  <sheetFormatPr defaultRowHeight="16.5" x14ac:dyDescent="0.3"/>
  <cols>
    <col min="1" max="1" width="3" customWidth="1"/>
    <col min="2" max="2" width="15.625" style="4" customWidth="1"/>
    <col min="3" max="5" width="4.625" customWidth="1"/>
    <col min="6" max="6" width="15.75" style="5" customWidth="1"/>
    <col min="10" max="10" width="7.625" bestFit="1" customWidth="1"/>
    <col min="12" max="12" width="11.375" bestFit="1" customWidth="1"/>
  </cols>
  <sheetData>
    <row r="1" spans="1:13" ht="30.6" customHeight="1" x14ac:dyDescent="0.3"/>
    <row r="2" spans="1:13" s="6" customFormat="1" ht="22.5" customHeight="1" x14ac:dyDescent="0.3">
      <c r="B2" s="18" t="s">
        <v>0</v>
      </c>
      <c r="D2"/>
      <c r="F2" s="19" t="s">
        <v>1</v>
      </c>
    </row>
    <row r="3" spans="1:13" s="2" customFormat="1" x14ac:dyDescent="0.3">
      <c r="B3" s="17" t="s">
        <v>19</v>
      </c>
      <c r="C3" s="3"/>
      <c r="D3"/>
      <c r="F3" s="20" t="s">
        <v>19</v>
      </c>
      <c r="H3" s="2" t="str" cm="1">
        <f t="array" ref="H3:H5">_xlfn.LET(
_xlpm._data_, tblStart[ID],
_xlpm._nums_, _xlfn.MAP(_xlpm._data_, _xlfn.LAMBDA(_xlpm.t, _xlfn.CONCAT(_xlfn.IFNA(_xlfn.REGEXEXTRACT(_xlpm.t, "\d+", 1), "0")))),
_xlpm._filtered_, _xlfn._xlws.FILTER(_xlpm._data_, (ISEVEN(--LEFT(_xlpm._nums_))) * (ISODD(--RIGHT(_xlpm._nums_))), ""),
_xlpm._res_, _xlfn.VSTACK("ID", _xlpm._filtered_),
_xlpm._res_)</f>
        <v>ID</v>
      </c>
      <c r="I3" s="2" t="b" cm="1">
        <f t="array" ref="I3:I5">F3:F5=_xlfn.ANCHORARRAY(H3)</f>
        <v>1</v>
      </c>
      <c r="J3" s="2" t="s">
        <v>19</v>
      </c>
      <c r="K3" s="2" t="b" cm="1">
        <f t="array" ref="K3:K5">tblSolution[[#All],[ID]]=F3:F5</f>
        <v>1</v>
      </c>
      <c r="L3" s="2" t="str" cm="1">
        <f t="array" ref="L3:L5">_xlfn._xlws.PY(0,0,B3:B10)</f>
        <v>ID</v>
      </c>
      <c r="M3" s="2" t="b" cm="1">
        <f t="array" ref="M3:M5">_xlfn.ANCHORARRAY(L3)=F3:F5</f>
        <v>1</v>
      </c>
    </row>
    <row r="4" spans="1:13" s="2" customFormat="1" x14ac:dyDescent="0.3">
      <c r="B4" s="9" t="s">
        <v>26</v>
      </c>
      <c r="C4" s="7"/>
      <c r="D4"/>
      <c r="F4" s="21" t="s">
        <v>24</v>
      </c>
      <c r="H4" s="2" t="str">
        <v>AB2467</v>
      </c>
      <c r="I4" s="2" t="b">
        <v>1</v>
      </c>
      <c r="J4" t="s">
        <v>24</v>
      </c>
      <c r="K4" s="2" t="b">
        <v>1</v>
      </c>
      <c r="L4" s="2" t="str">
        <v>AB2467</v>
      </c>
      <c r="M4" s="2" t="b">
        <v>1</v>
      </c>
    </row>
    <row r="5" spans="1:13" s="2" customFormat="1" x14ac:dyDescent="0.3">
      <c r="B5" s="9" t="s">
        <v>24</v>
      </c>
      <c r="C5" s="7"/>
      <c r="D5"/>
      <c r="F5" s="21" t="s">
        <v>25</v>
      </c>
      <c r="H5" s="2" t="str">
        <v>ST2461</v>
      </c>
      <c r="I5" s="2" t="b">
        <v>1</v>
      </c>
      <c r="J5" t="s">
        <v>25</v>
      </c>
      <c r="K5" s="2" t="b">
        <v>1</v>
      </c>
      <c r="L5" s="2" t="str">
        <v>ST2461</v>
      </c>
      <c r="M5" s="2" t="b">
        <v>1</v>
      </c>
    </row>
    <row r="6" spans="1:13" s="2" customFormat="1" x14ac:dyDescent="0.3">
      <c r="B6" s="9" t="s">
        <v>20</v>
      </c>
      <c r="C6" s="7"/>
      <c r="D6"/>
    </row>
    <row r="7" spans="1:13" s="2" customFormat="1" x14ac:dyDescent="0.3">
      <c r="B7" s="9" t="s">
        <v>21</v>
      </c>
      <c r="C7" s="7"/>
      <c r="D7"/>
    </row>
    <row r="8" spans="1:13" s="2" customFormat="1" x14ac:dyDescent="0.3">
      <c r="B8" s="9" t="s">
        <v>22</v>
      </c>
      <c r="C8" s="7"/>
      <c r="D8" s="7"/>
      <c r="E8"/>
    </row>
    <row r="9" spans="1:13" s="2" customFormat="1" x14ac:dyDescent="0.3">
      <c r="B9" s="9" t="s">
        <v>23</v>
      </c>
      <c r="C9" s="7"/>
      <c r="D9" s="8"/>
      <c r="E9"/>
      <c r="G9"/>
    </row>
    <row r="10" spans="1:13" x14ac:dyDescent="0.3">
      <c r="B10" s="9" t="s">
        <v>25</v>
      </c>
      <c r="C10" s="7"/>
      <c r="D10" s="8"/>
    </row>
    <row r="11" spans="1:13" x14ac:dyDescent="0.3">
      <c r="C11" s="7"/>
      <c r="D11" s="8"/>
      <c r="H11" s="10"/>
    </row>
    <row r="12" spans="1:13" x14ac:dyDescent="0.3">
      <c r="A12" s="1"/>
      <c r="C12" s="7"/>
      <c r="D12" s="8"/>
    </row>
    <row r="13" spans="1:13" x14ac:dyDescent="0.3">
      <c r="A13" s="1"/>
      <c r="C13" s="7"/>
      <c r="D13" s="8"/>
    </row>
    <row r="14" spans="1:13" x14ac:dyDescent="0.3">
      <c r="A14" s="1"/>
      <c r="C14" s="7"/>
      <c r="D14" s="8"/>
    </row>
    <row r="15" spans="1:13" x14ac:dyDescent="0.3">
      <c r="A15" s="1"/>
      <c r="C15" s="7"/>
      <c r="D15" s="8"/>
    </row>
    <row r="16" spans="1:13" x14ac:dyDescent="0.3">
      <c r="A16" s="1"/>
      <c r="C16" s="7"/>
      <c r="D16" s="8"/>
    </row>
    <row r="17" spans="1:7" x14ac:dyDescent="0.3">
      <c r="A17" s="1"/>
      <c r="C17" s="7"/>
      <c r="D17" s="1"/>
    </row>
    <row r="18" spans="1:7" x14ac:dyDescent="0.3">
      <c r="A18" s="1"/>
      <c r="C18" s="7"/>
      <c r="D18" s="1"/>
    </row>
    <row r="19" spans="1:7" x14ac:dyDescent="0.3">
      <c r="A19" s="1"/>
      <c r="C19" s="7"/>
      <c r="D19" s="1"/>
      <c r="G19" s="2"/>
    </row>
    <row r="20" spans="1:7" x14ac:dyDescent="0.3">
      <c r="A20" s="1"/>
      <c r="C20" s="7"/>
      <c r="D20" s="1"/>
    </row>
    <row r="21" spans="1:7" x14ac:dyDescent="0.3">
      <c r="C21" s="7"/>
      <c r="D21" s="1"/>
    </row>
    <row r="22" spans="1:7" x14ac:dyDescent="0.3">
      <c r="C22" s="7"/>
      <c r="D22" s="1"/>
    </row>
    <row r="23" spans="1:7" x14ac:dyDescent="0.3">
      <c r="C23" s="7"/>
    </row>
  </sheetData>
  <sortState xmlns:xlrd2="http://schemas.microsoft.com/office/spreadsheetml/2017/richdata2" ref="B4:B8">
    <sortCondition ref="B8"/>
  </sortState>
  <phoneticPr fontId="1" type="noConversion"/>
  <pageMargins left="0.7" right="0.7" top="0.75" bottom="0.75" header="0.3" footer="0.3"/>
  <pageSetup paperSize="9" orientation="portrait" r:id="rId1"/>
  <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EEE7A-1EA6-4A77-85D6-2C544F5C66AE}">
  <sheetPr codeName="Arkusz2">
    <tabColor rgb="FFFF0000"/>
  </sheetPr>
  <dimension ref="A1:B16"/>
  <sheetViews>
    <sheetView showGridLines="0" workbookViewId="0">
      <selection activeCell="A3" sqref="A3"/>
    </sheetView>
  </sheetViews>
  <sheetFormatPr defaultRowHeight="16.5" x14ac:dyDescent="0.3"/>
  <cols>
    <col min="1" max="1" width="85.25" customWidth="1"/>
    <col min="2" max="2" width="21.75" bestFit="1" customWidth="1"/>
  </cols>
  <sheetData>
    <row r="1" spans="1:2" ht="22.5" x14ac:dyDescent="0.3">
      <c r="A1" s="14" t="s">
        <v>8</v>
      </c>
      <c r="B1" s="2"/>
    </row>
    <row r="2" spans="1:2" ht="37.5" x14ac:dyDescent="0.3">
      <c r="A2" s="12" t="s">
        <v>18</v>
      </c>
      <c r="B2" s="2"/>
    </row>
    <row r="3" spans="1:2" ht="20.25" x14ac:dyDescent="0.3">
      <c r="A3" s="12" t="s">
        <v>11</v>
      </c>
      <c r="B3" s="16" t="s">
        <v>7</v>
      </c>
    </row>
    <row r="4" spans="1:2" ht="37.5" x14ac:dyDescent="0.3">
      <c r="A4" s="11" t="s">
        <v>12</v>
      </c>
      <c r="B4" s="2"/>
    </row>
    <row r="5" spans="1:2" ht="18.75" x14ac:dyDescent="0.3">
      <c r="A5" s="11" t="s">
        <v>13</v>
      </c>
      <c r="B5" s="2"/>
    </row>
    <row r="6" spans="1:2" ht="37.5" x14ac:dyDescent="0.3">
      <c r="A6" s="11" t="s">
        <v>14</v>
      </c>
      <c r="B6" s="2"/>
    </row>
    <row r="7" spans="1:2" ht="22.5" x14ac:dyDescent="0.3">
      <c r="A7" s="14" t="s">
        <v>2</v>
      </c>
      <c r="B7" s="2"/>
    </row>
    <row r="8" spans="1:2" ht="18.75" x14ac:dyDescent="0.3">
      <c r="A8" s="11" t="s">
        <v>3</v>
      </c>
      <c r="B8" s="2"/>
    </row>
    <row r="9" spans="1:2" ht="18.75" x14ac:dyDescent="0.3">
      <c r="A9" s="13" t="s">
        <v>15</v>
      </c>
      <c r="B9" s="2"/>
    </row>
    <row r="10" spans="1:2" ht="18.75" x14ac:dyDescent="0.3">
      <c r="A10" s="13" t="s">
        <v>9</v>
      </c>
      <c r="B10" s="2"/>
    </row>
    <row r="11" spans="1:2" ht="22.5" x14ac:dyDescent="0.3">
      <c r="A11" s="14" t="s">
        <v>4</v>
      </c>
      <c r="B11" s="2"/>
    </row>
    <row r="12" spans="1:2" ht="37.5" x14ac:dyDescent="0.3">
      <c r="A12" s="11" t="s">
        <v>16</v>
      </c>
      <c r="B12" s="2"/>
    </row>
    <row r="13" spans="1:2" ht="18.75" x14ac:dyDescent="0.3">
      <c r="A13" s="13" t="s">
        <v>10</v>
      </c>
      <c r="B13" s="15" t="str">
        <f>HYPERLINK("https://docs.google.com/forms/d/e/1FAIpQLSenkFJw7PjqMlL5f4xHx1KkzeZZRSB8vU92w6mFH6a_daa9pw/viewform?usp=header","Link to Form")</f>
        <v>Link to Form</v>
      </c>
    </row>
    <row r="14" spans="1:2" ht="18.75" x14ac:dyDescent="0.3">
      <c r="A14" s="13" t="s">
        <v>17</v>
      </c>
      <c r="B14" s="2"/>
    </row>
    <row r="15" spans="1:2" ht="22.5" x14ac:dyDescent="0.3">
      <c r="A15" s="14" t="s">
        <v>5</v>
      </c>
      <c r="B15" s="2"/>
    </row>
    <row r="16" spans="1:2" ht="37.5" x14ac:dyDescent="0.3">
      <c r="A16" s="11" t="s">
        <v>6</v>
      </c>
      <c r="B16" s="2"/>
    </row>
  </sheetData>
  <hyperlinks>
    <hyperlink ref="B3" r:id="rId1" xr:uid="{10720F54-BED7-4DB6-9CEF-C3B7B5976E96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C9A6F99-FACA-4590-92F9-7CD1357354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409</vt:lpstr>
      <vt:lpstr>README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Omid Motamedisedeh</dc:creator>
  <cp:lastModifiedBy>Maciej Kopczyński</cp:lastModifiedBy>
  <cp:lastPrinted>2024-01-31T23:46:52Z</cp:lastPrinted>
  <dcterms:created xsi:type="dcterms:W3CDTF">2015-06-05T18:17:20Z</dcterms:created>
  <dcterms:modified xsi:type="dcterms:W3CDTF">2026-05-09T22:43:39Z</dcterms:modified>
</cp:coreProperties>
</file>