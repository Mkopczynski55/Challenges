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83" documentId="13_ncr:1_{95FC969A-7408-4628-AF2D-5B38C3DDEECF}" xr6:coauthVersionLast="47" xr6:coauthVersionMax="47" xr10:uidLastSave="{7257596A-C545-4128-B018-E05E970C330A}"/>
  <bookViews>
    <workbookView xWindow="25695" yWindow="0" windowWidth="26010" windowHeight="20985" xr2:uid="{00000000-000D-0000-FFFF-FFFF00000000}"/>
  </bookViews>
  <sheets>
    <sheet name="Sheet1" sheetId="1" r:id="rId1"/>
  </sheets>
  <definedNames>
    <definedName name="_xlnm._FilterDatabase" localSheetId="0" hidden="1">Sheet1!$B$3:$C$7</definedName>
    <definedName name="ExternalData_1" localSheetId="0" hidden="1">Sheet1!$B$22:$F$25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 a="1"/>
  <c r="H2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30284A-3782-48A4-A85A-8347BD2E4C05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<sst xmlns="http://schemas.openxmlformats.org/spreadsheetml/2006/main" count="27" uniqueCount="12">
  <si>
    <t>Year</t>
  </si>
  <si>
    <t>X1</t>
  </si>
  <si>
    <t>X2</t>
  </si>
  <si>
    <t>X3</t>
  </si>
  <si>
    <t>X4</t>
  </si>
  <si>
    <t>Y1</t>
  </si>
  <si>
    <t>Y2</t>
  </si>
  <si>
    <t>Y3</t>
  </si>
  <si>
    <t>Question Table 1</t>
  </si>
  <si>
    <t>Question Table 2</t>
  </si>
  <si>
    <t>Result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</si>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</sst>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Gill Sans MT"/>
      <family val="2"/>
      <scheme val="minor"/>
    </font>
    <font>
      <sz val="8"/>
      <name val="Gill Sans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ill Sans MT"/>
      <family val="1"/>
      <scheme val="minor"/>
    </font>
    <font>
      <b/>
      <sz val="11"/>
      <color theme="1"/>
      <name val="Gill Sans MT"/>
      <family val="2"/>
      <scheme val="minor"/>
    </font>
    <font>
      <b/>
      <sz val="11"/>
      <color theme="0"/>
      <name val="Gill Sans MT"/>
      <family val="1"/>
      <scheme val="minor"/>
    </font>
    <font>
      <b/>
      <sz val="11"/>
      <color theme="0"/>
      <name val="Gill Sans MT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4" fontId="2" fillId="4" borderId="7" xfId="0" applyNumberFormat="1" applyFont="1" applyFill="1" applyBorder="1" applyAlignment="1">
      <alignment horizontal="center"/>
    </xf>
    <xf numFmtId="4" fontId="2" fillId="4" borderId="3" xfId="0" applyNumberFormat="1" applyFont="1" applyFill="1" applyBorder="1" applyAlignment="1">
      <alignment horizontal="center"/>
    </xf>
    <xf numFmtId="4" fontId="2" fillId="4" borderId="8" xfId="0" applyNumberFormat="1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4" fontId="2" fillId="4" borderId="4" xfId="0" applyNumberFormat="1" applyFont="1" applyFill="1" applyBorder="1" applyAlignment="1">
      <alignment horizontal="center"/>
    </xf>
    <xf numFmtId="4" fontId="2" fillId="4" borderId="5" xfId="0" applyNumberFormat="1" applyFont="1" applyFill="1" applyBorder="1" applyAlignment="1">
      <alignment horizontal="center"/>
    </xf>
    <xf numFmtId="4" fontId="2" fillId="4" borderId="9" xfId="0" applyNumberFormat="1" applyFont="1" applyFill="1" applyBorder="1" applyAlignment="1">
      <alignment horizontal="center"/>
    </xf>
    <xf numFmtId="4" fontId="2" fillId="4" borderId="10" xfId="0" applyNumberFormat="1" applyFont="1" applyFill="1" applyBorder="1" applyAlignment="1">
      <alignment horizontal="center"/>
    </xf>
    <xf numFmtId="4" fontId="2" fillId="4" borderId="11" xfId="0" applyNumberFormat="1" applyFont="1" applyFill="1" applyBorder="1" applyAlignment="1">
      <alignment horizontal="center"/>
    </xf>
    <xf numFmtId="0" fontId="2" fillId="6" borderId="0" xfId="0" applyFont="1" applyFill="1"/>
    <xf numFmtId="4" fontId="2" fillId="6" borderId="3" xfId="0" applyNumberFormat="1" applyFont="1" applyFill="1" applyBorder="1" applyAlignment="1">
      <alignment horizontal="center"/>
    </xf>
    <xf numFmtId="4" fontId="2" fillId="6" borderId="4" xfId="0" applyNumberFormat="1" applyFont="1" applyFill="1" applyBorder="1" applyAlignment="1">
      <alignment horizontal="center"/>
    </xf>
    <xf numFmtId="4" fontId="2" fillId="6" borderId="10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4" fontId="0" fillId="0" borderId="0" xfId="0" applyNumberFormat="1"/>
  </cellXfs>
  <cellStyles count="1">
    <cellStyle name="Normalny" xfId="0" builtinId="0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1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1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4793052B-B604-4668-944C-0B86B9948287}"/>
  </tableStyles>
  <colors>
    <mruColors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262276</xdr:colOff>
      <xdr:row>7</xdr:row>
      <xdr:rowOff>91964</xdr:rowOff>
    </xdr:from>
    <xdr:to>
      <xdr:col>12</xdr:col>
      <xdr:colOff>295603</xdr:colOff>
      <xdr:row>19</xdr:row>
      <xdr:rowOff>26275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737259" y="1681654"/>
          <a:ext cx="4132361" cy="2535621"/>
        </a:xfrm>
        <a:prstGeom prst="roundRect">
          <a:avLst>
            <a:gd name="adj" fmla="val 12006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8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321: Correlation Between Factors</a:t>
          </a: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Two tables are provided containing factors X1 to X4 and Y1 to Y3 for the years 2020 to 2025.</a:t>
          </a: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Extract the correlations between the factors from Table 1 (X1 to X4) and Table 2 (Y1 to Y3), as shown in the result table.</a:t>
          </a: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Note: The values in Table 2 are not sorted by year, so take care when aligning the data.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6AC0A9-FA4D-4440-8C34-78AC15D79A76}" autoFormatId="16" applyNumberFormats="0" applyBorderFormats="0" applyFontFormats="0" applyPatternFormats="0" applyAlignmentFormats="0" applyWidthHeightFormats="0">
  <queryTableRefresh nextId="6">
    <queryTableFields count="5">
      <queryTableField id="1" name="Y" tableColumnId="1"/>
      <queryTableField id="2" name="X1" tableColumnId="2"/>
      <queryTableField id="3" name="X2" tableColumnId="3"/>
      <queryTableField id="4" name="X3" tableColumnId="4"/>
      <queryTableField id="5" name="X4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42765-80D8-4540-BB68-3BEAFE1CB973}" name="TableX" displayName="TableX" ref="B2:F8" totalsRowShown="0" headerRowDxfId="20" dataDxfId="18" headerRowBorderDxfId="19" tableBorderDxfId="17" totalsRowBorderDxfId="16">
  <sortState xmlns:xlrd2="http://schemas.microsoft.com/office/spreadsheetml/2017/richdata2" ref="B3:F8">
    <sortCondition ref="B8"/>
  </sortState>
  <tableColumns count="5">
    <tableColumn id="1" xr3:uid="{062D0B4F-E43E-4AC4-83D0-7185C34EFCFB}" name="Year" dataDxfId="15"/>
    <tableColumn id="2" xr3:uid="{7A24B762-8567-491D-87CB-9B03FDD66BD4}" name="X1" dataDxfId="14"/>
    <tableColumn id="3" xr3:uid="{9B350C12-C65E-4400-AF67-48A10D154446}" name="X2" dataDxfId="13"/>
    <tableColumn id="4" xr3:uid="{0051696A-00B2-460B-82D7-61DC024C54DB}" name="X3" dataDxfId="12"/>
    <tableColumn id="5" xr3:uid="{14B1C357-7E5F-4418-B875-CF386637BED0}" name="X4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21737A-67BE-4CCF-B457-526C9C1589E8}" name="TableY" displayName="TableY" ref="B13:E19" totalsRowShown="0" headerRowDxfId="10" dataDxfId="8" headerRowBorderDxfId="9" tableBorderDxfId="7" totalsRowBorderDxfId="6">
  <autoFilter ref="B13:E19" xr:uid="{8521737A-67BE-4CCF-B457-526C9C1589E8}"/>
  <sortState xmlns:xlrd2="http://schemas.microsoft.com/office/spreadsheetml/2017/richdata2" ref="B14:E19">
    <sortCondition ref="B13:B19"/>
  </sortState>
  <tableColumns count="4">
    <tableColumn id="1" xr3:uid="{3333ED18-229E-4B13-971B-7511C5B31A8E}" name="Year" dataDxfId="5"/>
    <tableColumn id="2" xr3:uid="{9F7D239A-8093-4B7F-B70B-572B2003638B}" name="Y1" dataDxfId="4"/>
    <tableColumn id="3" xr3:uid="{04D98A31-06B4-4A39-A6A5-E2F231679B8A}" name="Y2" dataDxfId="3"/>
    <tableColumn id="4" xr3:uid="{AD2C9875-E039-47D8-BD56-D54D155A5988}" name="Y3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1ADE2D-C827-4057-8685-013B2D02BBC5}" name="tblSolution" displayName="tblSolution" ref="B22:F25" tableType="queryTable" totalsRowShown="0">
  <autoFilter ref="B22:F25" xr:uid="{FB1ADE2D-C827-4057-8685-013B2D02BBC5}"/>
  <tableColumns count="5">
    <tableColumn id="1" xr3:uid="{41B1EA01-5EC5-456A-9060-50E361D99929}" uniqueName="1" name="Y" queryTableFieldId="1" dataDxfId="1"/>
    <tableColumn id="2" xr3:uid="{C84C9228-6C3D-4F54-9A2E-89B0593AAD8A}" uniqueName="2" name="X1" queryTableFieldId="2" dataDxfId="0"/>
    <tableColumn id="3" xr3:uid="{67CC95D8-201E-478D-8BEF-10C201A22956}" uniqueName="3" name="X2" queryTableFieldId="3"/>
    <tableColumn id="4" xr3:uid="{7085FF1C-89C0-4A6F-8801-EB846D74548C}" uniqueName="4" name="X3" queryTableFieldId="4"/>
    <tableColumn id="5" xr3:uid="{97BD19BD-C6C0-475A-8811-9AB11379C9A2}" uniqueName="5" name="X4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topLeftCell="D1" zoomScale="145" zoomScaleNormal="145" workbookViewId="0">
      <selection activeCell="F11" sqref="F11"/>
    </sheetView>
  </sheetViews>
  <sheetFormatPr defaultRowHeight="17.25" x14ac:dyDescent="0.35"/>
  <cols>
    <col min="1" max="1" width="3.125" customWidth="1"/>
    <col min="2" max="2" width="6.25" style="3" bestFit="1" customWidth="1"/>
    <col min="3" max="3" width="12.5" style="3" bestFit="1" customWidth="1"/>
    <col min="4" max="6" width="12.5" bestFit="1" customWidth="1"/>
  </cols>
  <sheetData>
    <row r="1" spans="1:12" x14ac:dyDescent="0.35">
      <c r="B1" s="24" t="s">
        <v>8</v>
      </c>
      <c r="C1" s="24"/>
      <c r="D1" s="24"/>
      <c r="E1" s="24"/>
      <c r="F1" s="24"/>
      <c r="H1" s="24" t="s">
        <v>10</v>
      </c>
      <c r="I1" s="24"/>
      <c r="J1" s="24"/>
      <c r="K1" s="24"/>
      <c r="L1" s="24"/>
    </row>
    <row r="2" spans="1:12" s="4" customFormat="1" ht="22.5" customHeight="1" x14ac:dyDescent="0.3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I2" s="9" t="s">
        <v>1</v>
      </c>
      <c r="J2" s="9" t="s">
        <v>2</v>
      </c>
      <c r="K2" s="9" t="s">
        <v>3</v>
      </c>
      <c r="L2" s="9" t="s">
        <v>4</v>
      </c>
    </row>
    <row r="3" spans="1:12" s="2" customFormat="1" x14ac:dyDescent="0.25">
      <c r="B3" s="8">
        <v>2020</v>
      </c>
      <c r="C3" s="11">
        <v>46</v>
      </c>
      <c r="D3" s="21">
        <v>78</v>
      </c>
      <c r="E3" s="12">
        <v>17</v>
      </c>
      <c r="F3" s="13">
        <v>65</v>
      </c>
      <c r="H3" s="9" t="s">
        <v>5</v>
      </c>
      <c r="I3" s="2">
        <v>-0.42270107816543689</v>
      </c>
      <c r="J3" s="2">
        <v>0.25105104056694449</v>
      </c>
      <c r="K3" s="2">
        <v>-5.9542479357340833E-2</v>
      </c>
      <c r="L3" s="2">
        <v>0.23500876810184107</v>
      </c>
    </row>
    <row r="4" spans="1:12" s="2" customFormat="1" x14ac:dyDescent="0.25">
      <c r="B4" s="8">
        <v>2021</v>
      </c>
      <c r="C4" s="14">
        <v>47</v>
      </c>
      <c r="D4" s="22">
        <v>90</v>
      </c>
      <c r="E4" s="15">
        <v>31</v>
      </c>
      <c r="F4" s="16">
        <v>56</v>
      </c>
      <c r="H4" s="9" t="s">
        <v>6</v>
      </c>
      <c r="I4" s="2">
        <v>0.46157792241379175</v>
      </c>
      <c r="J4" s="20">
        <v>-0.29099941769449106</v>
      </c>
      <c r="K4" s="2">
        <v>-0.21251078699488726</v>
      </c>
      <c r="L4" s="2">
        <v>-0.15052374974226707</v>
      </c>
    </row>
    <row r="5" spans="1:12" s="2" customFormat="1" x14ac:dyDescent="0.25">
      <c r="B5" s="8">
        <v>2022</v>
      </c>
      <c r="C5" s="14">
        <v>4</v>
      </c>
      <c r="D5" s="22">
        <v>60</v>
      </c>
      <c r="E5" s="15">
        <v>14</v>
      </c>
      <c r="F5" s="16">
        <v>87</v>
      </c>
      <c r="H5" s="10" t="s">
        <v>7</v>
      </c>
      <c r="I5" s="2">
        <v>-5.5524543611601737E-2</v>
      </c>
      <c r="J5" s="2">
        <v>0.26239617205792498</v>
      </c>
      <c r="K5" s="2">
        <v>3.8818219137432504E-2</v>
      </c>
      <c r="L5" s="2">
        <v>-0.36603657721344951</v>
      </c>
    </row>
    <row r="6" spans="1:12" s="2" customFormat="1" x14ac:dyDescent="0.25">
      <c r="B6" s="8">
        <v>2023</v>
      </c>
      <c r="C6" s="14">
        <v>6</v>
      </c>
      <c r="D6" s="22">
        <v>76</v>
      </c>
      <c r="E6" s="15">
        <v>82</v>
      </c>
      <c r="F6" s="16">
        <v>66</v>
      </c>
      <c r="J6" s="6"/>
      <c r="K6" s="6"/>
      <c r="L6" s="6"/>
    </row>
    <row r="7" spans="1:12" s="2" customFormat="1" x14ac:dyDescent="0.25">
      <c r="B7" s="8">
        <v>2024</v>
      </c>
      <c r="C7" s="14">
        <v>35</v>
      </c>
      <c r="D7" s="22">
        <v>99</v>
      </c>
      <c r="E7" s="15">
        <v>82</v>
      </c>
      <c r="F7" s="16">
        <v>58</v>
      </c>
      <c r="J7" s="6"/>
      <c r="K7" s="6"/>
      <c r="L7" s="6"/>
    </row>
    <row r="8" spans="1:12" s="2" customFormat="1" x14ac:dyDescent="0.25">
      <c r="B8" s="8">
        <v>2025</v>
      </c>
      <c r="C8" s="17">
        <v>80</v>
      </c>
      <c r="D8" s="23">
        <v>70</v>
      </c>
      <c r="E8" s="18">
        <v>37</v>
      </c>
      <c r="F8" s="19">
        <v>59</v>
      </c>
      <c r="J8" s="6"/>
      <c r="K8" s="6"/>
      <c r="L8" s="6"/>
    </row>
    <row r="9" spans="1:12" s="2" customFormat="1" x14ac:dyDescent="0.35">
      <c r="B9" s="3"/>
      <c r="C9" s="3"/>
      <c r="J9" s="6"/>
      <c r="K9" s="6"/>
      <c r="L9" s="6"/>
    </row>
    <row r="10" spans="1:12" s="2" customFormat="1" x14ac:dyDescent="0.35">
      <c r="B10" s="3"/>
      <c r="C10" s="3"/>
      <c r="J10" s="6"/>
      <c r="K10" s="6"/>
      <c r="L10" s="6"/>
    </row>
    <row r="11" spans="1:12" s="2" customFormat="1" x14ac:dyDescent="0.35">
      <c r="B11" s="3"/>
      <c r="C11" s="3"/>
    </row>
    <row r="12" spans="1:12" s="2" customFormat="1" x14ac:dyDescent="0.35">
      <c r="B12" s="24" t="s">
        <v>9</v>
      </c>
      <c r="C12" s="24"/>
      <c r="D12" s="24"/>
      <c r="E12" s="24"/>
      <c r="F12"/>
    </row>
    <row r="13" spans="1:12" x14ac:dyDescent="0.35">
      <c r="B13" s="7" t="s">
        <v>0</v>
      </c>
      <c r="C13" s="7" t="s">
        <v>5</v>
      </c>
      <c r="D13" s="7" t="s">
        <v>6</v>
      </c>
      <c r="E13" s="7" t="s">
        <v>7</v>
      </c>
      <c r="F13" s="5"/>
    </row>
    <row r="14" spans="1:12" x14ac:dyDescent="0.35">
      <c r="B14" s="8">
        <v>2020</v>
      </c>
      <c r="C14" s="11">
        <v>0.2804331128635511</v>
      </c>
      <c r="D14" s="21">
        <v>86</v>
      </c>
      <c r="E14" s="12">
        <v>8</v>
      </c>
      <c r="F14" s="5"/>
    </row>
    <row r="15" spans="1:12" x14ac:dyDescent="0.35">
      <c r="A15" s="1"/>
      <c r="B15" s="8">
        <v>2021</v>
      </c>
      <c r="C15" s="14">
        <v>0.99953092130333532</v>
      </c>
      <c r="D15" s="22">
        <v>1</v>
      </c>
      <c r="E15" s="15">
        <v>8</v>
      </c>
      <c r="F15" s="6"/>
      <c r="G15" s="5"/>
    </row>
    <row r="16" spans="1:12" x14ac:dyDescent="0.35">
      <c r="A16" s="1"/>
      <c r="B16" s="8">
        <v>2022</v>
      </c>
      <c r="C16" s="14">
        <v>0.95160164684373527</v>
      </c>
      <c r="D16" s="22">
        <v>8</v>
      </c>
      <c r="E16" s="15">
        <v>1</v>
      </c>
      <c r="F16" s="6"/>
      <c r="G16" s="6"/>
    </row>
    <row r="17" spans="1:12" x14ac:dyDescent="0.35">
      <c r="A17" s="1"/>
      <c r="B17" s="8">
        <v>2023</v>
      </c>
      <c r="C17" s="14">
        <v>0.42796217157650751</v>
      </c>
      <c r="D17" s="22">
        <v>39</v>
      </c>
      <c r="E17" s="15">
        <v>8</v>
      </c>
      <c r="F17" s="6"/>
      <c r="G17" s="6"/>
    </row>
    <row r="18" spans="1:12" x14ac:dyDescent="0.35">
      <c r="A18" s="1"/>
      <c r="B18" s="8">
        <v>2024</v>
      </c>
      <c r="C18" s="14">
        <v>0.81196160168118847</v>
      </c>
      <c r="D18" s="22">
        <v>10</v>
      </c>
      <c r="E18" s="15">
        <v>2</v>
      </c>
      <c r="F18" s="6"/>
      <c r="G18" s="6"/>
    </row>
    <row r="19" spans="1:12" x14ac:dyDescent="0.35">
      <c r="A19" s="1"/>
      <c r="B19" s="8">
        <v>2025</v>
      </c>
      <c r="C19" s="17">
        <v>0.24929904339175502</v>
      </c>
      <c r="D19" s="23">
        <v>67</v>
      </c>
      <c r="E19" s="18">
        <v>2</v>
      </c>
      <c r="F19" s="6"/>
      <c r="G19" s="6"/>
    </row>
    <row r="20" spans="1:12" x14ac:dyDescent="0.35">
      <c r="A20" s="1"/>
      <c r="F20" s="6"/>
      <c r="G20" s="6"/>
      <c r="H20" s="6"/>
    </row>
    <row r="21" spans="1:12" x14ac:dyDescent="0.35">
      <c r="A21" s="1"/>
      <c r="H21" s="25"/>
    </row>
    <row r="22" spans="1:12" x14ac:dyDescent="0.35">
      <c r="A22" s="1"/>
      <c r="B22" s="3" t="s">
        <v>11</v>
      </c>
      <c r="C22" s="3" t="s">
        <v>1</v>
      </c>
      <c r="D22" t="s">
        <v>2</v>
      </c>
      <c r="E22" t="s">
        <v>3</v>
      </c>
      <c r="F22" t="s">
        <v>4</v>
      </c>
      <c r="H22" t="b" cm="1">
        <f t="array" ref="H22:L25">tblSolution[#All]=H2:L5</f>
        <v>0</v>
      </c>
      <c r="I22" t="b">
        <v>1</v>
      </c>
      <c r="J22" t="b">
        <v>1</v>
      </c>
      <c r="K22" t="b">
        <v>1</v>
      </c>
      <c r="L22" t="b">
        <v>1</v>
      </c>
    </row>
    <row r="23" spans="1:12" x14ac:dyDescent="0.35">
      <c r="B23" t="s">
        <v>5</v>
      </c>
      <c r="C23">
        <v>-0.42270107816543728</v>
      </c>
      <c r="D23">
        <v>0.25105104056694366</v>
      </c>
      <c r="E23">
        <v>-5.9542479357340805E-2</v>
      </c>
      <c r="F23">
        <v>0.23500876810184052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</row>
    <row r="24" spans="1:12" x14ac:dyDescent="0.35">
      <c r="B24" t="s">
        <v>6</v>
      </c>
      <c r="C24">
        <v>0.46157792241379131</v>
      </c>
      <c r="D24">
        <v>-0.29099941769449061</v>
      </c>
      <c r="E24">
        <v>-0.21251078699488776</v>
      </c>
      <c r="F24">
        <v>-0.15052374974226812</v>
      </c>
      <c r="H24" t="b">
        <v>1</v>
      </c>
      <c r="I24" t="b">
        <v>0</v>
      </c>
      <c r="J24" t="b">
        <v>1</v>
      </c>
      <c r="K24" t="b">
        <v>0</v>
      </c>
      <c r="L24" t="b">
        <v>0</v>
      </c>
    </row>
    <row r="25" spans="1:12" x14ac:dyDescent="0.35">
      <c r="B25" t="s">
        <v>7</v>
      </c>
      <c r="C25">
        <v>-5.5524543611602112E-2</v>
      </c>
      <c r="D25">
        <v>0.2623961720579242</v>
      </c>
      <c r="E25">
        <v>3.8818219137431949E-2</v>
      </c>
      <c r="F25">
        <v>-0.36603657721345029</v>
      </c>
      <c r="H25" t="b">
        <v>1</v>
      </c>
      <c r="I25" t="b">
        <v>0</v>
      </c>
      <c r="J25" t="b">
        <v>0</v>
      </c>
      <c r="K25" t="b">
        <v>0</v>
      </c>
      <c r="L25" t="b">
        <v>1</v>
      </c>
    </row>
    <row r="28" spans="1:12" x14ac:dyDescent="0.35">
      <c r="H28" s="25"/>
    </row>
  </sheetData>
  <sortState xmlns:xlrd2="http://schemas.microsoft.com/office/spreadsheetml/2017/richdata2" ref="B3:C7">
    <sortCondition ref="B7"/>
  </sortState>
  <mergeCells count="3">
    <mergeCell ref="B1:F1"/>
    <mergeCell ref="B12:E12"/>
    <mergeCell ref="H1:L1"/>
  </mergeCells>
  <phoneticPr fontId="1" type="noConversion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28A423-2DD3-4721-AFD6-9C970BAD45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2025-11-04T22:48:52Z</dcterms:modified>
</cp:coreProperties>
</file>