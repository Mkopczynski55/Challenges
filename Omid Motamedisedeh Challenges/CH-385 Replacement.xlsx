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Omid Motamedisedeh Challenges/"/>
    </mc:Choice>
  </mc:AlternateContent>
  <xr:revisionPtr revIDLastSave="66" documentId="13_ncr:1_{5C8EF9DF-5978-47BF-8906-A738DBA674A8}" xr6:coauthVersionLast="47" xr6:coauthVersionMax="47" xr10:uidLastSave="{00D7D8E3-4F14-497C-8F5B-225A0640C268}"/>
  <bookViews>
    <workbookView xWindow="25695" yWindow="0" windowWidth="26010" windowHeight="20985" xr2:uid="{00000000-000D-0000-FFFF-FFFF00000000}"/>
  </bookViews>
  <sheets>
    <sheet name="385" sheetId="1" r:id="rId1"/>
  </sheets>
  <definedNames>
    <definedName name="_xlnm._FilterDatabase" localSheetId="0" hidden="1">'385'!$B$4:$B$12</definedName>
    <definedName name="ExternalData_1" localSheetId="0" hidden="1">'385'!$L$12:$O$19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" l="1" a="1"/>
  <c r="Q21" i="1" s="1"/>
  <c r="Q12" i="1" a="1"/>
  <c r="Q12" i="1" s="1"/>
  <c r="G21" i="1" a="1"/>
  <c r="G21" i="1" s="1"/>
  <c r="G12" i="1" a="1"/>
  <c r="G12" i="1" s="1"/>
  <c r="L21" i="1" a="1"/>
  <c r="L21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50A55-F854-4BE8-833B-D4205F4A2DF9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 xl(%P2%, headers = True)
df["Date"] = pd.to_datetime(df["Date"])
df["Customer ID"] = df.apply(
    lambda x: x["Customer ID"].replace("X", "C") if x["Date"] &gt;= pd.to_datetime("14.08.2024") else x["Customer ID"], axis = 1)
df</code>
    </pythonScript>
  </pythonScripts>
</python>
</file>

<file path=xl/sharedStrings.xml><?xml version="1.0" encoding="utf-8"?>
<sst xmlns="http://schemas.openxmlformats.org/spreadsheetml/2006/main" count="56" uniqueCount="20">
  <si>
    <t>Result</t>
  </si>
  <si>
    <t>Question</t>
  </si>
  <si>
    <t>Total Sales</t>
  </si>
  <si>
    <t>Product ID</t>
  </si>
  <si>
    <t>Date</t>
  </si>
  <si>
    <t>Customer ID</t>
  </si>
  <si>
    <t>XNM-13</t>
  </si>
  <si>
    <t>XNM-07</t>
  </si>
  <si>
    <t>XNM-01</t>
  </si>
  <si>
    <t>XNM-22</t>
  </si>
  <si>
    <t>C-13</t>
  </si>
  <si>
    <t>C-16</t>
  </si>
  <si>
    <t>XNM-12</t>
  </si>
  <si>
    <t>C-12</t>
  </si>
  <si>
    <t>XNM-11</t>
  </si>
  <si>
    <t>XNM-14</t>
  </si>
  <si>
    <t>C-18</t>
  </si>
  <si>
    <t>X-16</t>
  </si>
  <si>
    <t>X-13</t>
  </si>
  <si>
    <t>X-18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</si>
</sst>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;[Red]\-&quot;$&quot;#,##0"/>
  </numFmts>
  <fonts count="5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5" xfId="0" applyFont="1" applyBorder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0" xfId="0" applyFont="1" applyBorder="1"/>
    <xf numFmtId="0" fontId="2" fillId="0" borderId="7" xfId="0" applyFont="1" applyBorder="1"/>
    <xf numFmtId="14" fontId="2" fillId="0" borderId="2" xfId="0" applyNumberFormat="1" applyFont="1" applyBorder="1"/>
    <xf numFmtId="14" fontId="2" fillId="0" borderId="6" xfId="0" applyNumberFormat="1" applyFont="1" applyBorder="1"/>
    <xf numFmtId="0" fontId="2" fillId="4" borderId="10" xfId="0" applyFont="1" applyFill="1" applyBorder="1"/>
    <xf numFmtId="0" fontId="2" fillId="4" borderId="9" xfId="0" applyFont="1" applyFill="1" applyBorder="1"/>
    <xf numFmtId="14" fontId="2" fillId="0" borderId="11" xfId="0" applyNumberFormat="1" applyFont="1" applyBorder="1"/>
    <xf numFmtId="0" fontId="2" fillId="0" borderId="12" xfId="0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4" fontId="2" fillId="0" borderId="16" xfId="0" applyNumberFormat="1" applyFont="1" applyBorder="1"/>
    <xf numFmtId="0" fontId="2" fillId="0" borderId="17" xfId="0" applyFont="1" applyBorder="1"/>
    <xf numFmtId="0" fontId="2" fillId="4" borderId="17" xfId="0" applyFont="1" applyFill="1" applyBorder="1"/>
    <xf numFmtId="0" fontId="2" fillId="0" borderId="18" xfId="0" applyFont="1" applyBorder="1"/>
    <xf numFmtId="0" fontId="4" fillId="3" borderId="3" xfId="0" applyFont="1" applyFill="1" applyBorder="1" applyAlignment="1">
      <alignment horizontal="center" vertical="center"/>
    </xf>
  </cellXfs>
  <cellStyles count="1">
    <cellStyle name="Normalny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&quot;$&quot;#,##0;[Red]\-&quot;$&quot;#,##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dd/mm/yyyy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8C30CD2A-9BEA-4CC6-865E-65C3488D85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10</xdr:row>
      <xdr:rowOff>200756</xdr:rowOff>
    </xdr:from>
    <xdr:to>
      <xdr:col>5</xdr:col>
      <xdr:colOff>575896</xdr:colOff>
      <xdr:row>20</xdr:row>
      <xdr:rowOff>200758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58A15E-D55A-4C9A-8FD0-1C0B4D30F37A}"/>
            </a:ext>
          </a:extLst>
        </xdr:cNvPr>
        <xdr:cNvSpPr/>
      </xdr:nvSpPr>
      <xdr:spPr>
        <a:xfrm>
          <a:off x="133350" y="2629631"/>
          <a:ext cx="3833446" cy="2095502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385: Replacement!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replace C in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Custom</a:t>
          </a:r>
          <a:r>
            <a:rPr lang="pl-PL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r>
            <a:rPr lang="en-AU" sz="1400" b="1" baseline="0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r ID to X for any record after 14/8/2024.</a:t>
          </a:r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31510</xdr:colOff>
      <xdr:row>0</xdr:row>
      <xdr:rowOff>0</xdr:rowOff>
    </xdr:from>
    <xdr:to>
      <xdr:col>1</xdr:col>
      <xdr:colOff>197343</xdr:colOff>
      <xdr:row>1</xdr:row>
      <xdr:rowOff>1709</xdr:rowOff>
    </xdr:to>
    <xdr:pic>
      <xdr:nvPicPr>
        <xdr:cNvPr id="4" name="Graphic 3" descr="Puzzle with solid fill">
          <a:extLst>
            <a:ext uri="{FF2B5EF4-FFF2-40B4-BE49-F238E27FC236}">
              <a16:creationId xmlns:a16="http://schemas.microsoft.com/office/drawing/2014/main" id="{96E97874-B85E-4838-9629-15972584A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510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172189</xdr:colOff>
      <xdr:row>0</xdr:row>
      <xdr:rowOff>46891</xdr:rowOff>
    </xdr:from>
    <xdr:to>
      <xdr:col>5</xdr:col>
      <xdr:colOff>1247777</xdr:colOff>
      <xdr:row>1</xdr:row>
      <xdr:rowOff>91586</xdr:rowOff>
    </xdr:to>
    <xdr:sp macro="" textlink="">
      <xdr:nvSpPr>
        <xdr:cNvPr id="6" name="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D42D15-7083-4037-B7B6-22F6131E8105}"/>
            </a:ext>
          </a:extLst>
        </xdr:cNvPr>
        <xdr:cNvSpPr/>
      </xdr:nvSpPr>
      <xdr:spPr>
        <a:xfrm>
          <a:off x="391264" y="46891"/>
          <a:ext cx="4247413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206620</xdr:rowOff>
    </xdr:from>
    <xdr:to>
      <xdr:col>1</xdr:col>
      <xdr:colOff>419540</xdr:colOff>
      <xdr:row>13</xdr:row>
      <xdr:rowOff>52462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4D61658-411C-4EBF-AB86-F4F74A647BD0}"/>
            </a:ext>
          </a:extLst>
        </xdr:cNvPr>
        <xdr:cNvSpPr/>
      </xdr:nvSpPr>
      <xdr:spPr>
        <a:xfrm>
          <a:off x="0" y="2425945"/>
          <a:ext cx="638615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234464</xdr:colOff>
      <xdr:row>18</xdr:row>
      <xdr:rowOff>168518</xdr:rowOff>
    </xdr:from>
    <xdr:to>
      <xdr:col>5</xdr:col>
      <xdr:colOff>156065</xdr:colOff>
      <xdr:row>20</xdr:row>
      <xdr:rowOff>58613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8A14F39-A096-499F-851C-D632E879497F}"/>
            </a:ext>
          </a:extLst>
        </xdr:cNvPr>
        <xdr:cNvGrpSpPr/>
      </xdr:nvGrpSpPr>
      <xdr:grpSpPr>
        <a:xfrm>
          <a:off x="1965529" y="4019931"/>
          <a:ext cx="1694079" cy="304225"/>
          <a:chOff x="4173415" y="2989386"/>
          <a:chExt cx="1424354" cy="287215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D7B05A3-D87C-1773-8E10-9A36888FE936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345D933-C3C9-ED63-D6D4-E68D2272060C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158263</xdr:colOff>
      <xdr:row>18</xdr:row>
      <xdr:rowOff>168518</xdr:rowOff>
    </xdr:from>
    <xdr:to>
      <xdr:col>3</xdr:col>
      <xdr:colOff>171454</xdr:colOff>
      <xdr:row>20</xdr:row>
      <xdr:rowOff>58614</xdr:rowOff>
    </xdr:to>
    <xdr:grpSp>
      <xdr:nvGrpSpPr>
        <xdr:cNvPr id="12" name="Group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12A753-7FE7-4F6E-8E60-D4273564D42A}"/>
            </a:ext>
          </a:extLst>
        </xdr:cNvPr>
        <xdr:cNvGrpSpPr/>
      </xdr:nvGrpSpPr>
      <xdr:grpSpPr>
        <a:xfrm>
          <a:off x="373611" y="4019931"/>
          <a:ext cx="1528908" cy="304226"/>
          <a:chOff x="4161693" y="3259013"/>
          <a:chExt cx="1424354" cy="287215"/>
        </a:xfrm>
      </xdr:grpSpPr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01E0F91-D88C-DD84-CA5C-BBC32D8DCAC2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D6DD2B71-D25E-6A51-F640-5BE35F3311AB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47C48F-F0F6-4941-A52F-23876941B4DA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 ID" tableColumnId="2"/>
      <queryTableField id="3" name="Customer ID" tableColumnId="3"/>
      <queryTableField id="4" name="Total Sales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fb>45508</fb>
    <v>0</v>
  </rv>
  <rv s="0">
    <fb>45511</fb>
    <v>0</v>
  </rv>
  <rv s="0">
    <fb>45516</fb>
    <v>0</v>
  </rv>
  <rv s="0">
    <fb>45518</fb>
    <v>0</v>
  </rv>
  <rv s="0">
    <fb>45525</fb>
    <v>0</v>
  </rv>
  <rv s="0">
    <fb>45530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1E9303-07E4-42D1-8E89-AF13798B16D3}" name="tblStart" displayName="tblStart" ref="B3:E10" totalsRowShown="0" headerRowDxfId="12" headerRowBorderDxfId="11" tableBorderDxfId="10" totalsRowBorderDxfId="9">
  <autoFilter ref="B3:E10" xr:uid="{BB1E9303-07E4-42D1-8E89-AF13798B16D3}"/>
  <tableColumns count="4">
    <tableColumn id="1" xr3:uid="{B158AAC0-1646-456E-B9CA-89657715CF51}" name="Date" dataDxfId="8"/>
    <tableColumn id="2" xr3:uid="{E5003762-1349-4E4B-B7DF-54B5DEEC1B23}" name="Product ID" dataDxfId="7"/>
    <tableColumn id="3" xr3:uid="{D27DE7C5-1314-4782-AD23-DC1A92B3A15D}" name="Customer ID" dataDxfId="6"/>
    <tableColumn id="4" xr3:uid="{D21F2F40-BC78-47AD-A40B-A36735A5DD7A}" name="Total Sale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2E885D-25EF-42EE-8B29-5CE505F57F56}" name="tblSolution" displayName="tblSolution" ref="L12:O19" tableType="queryTable" totalsRowShown="0" headerRowDxfId="4">
  <autoFilter ref="L12:O19" xr:uid="{ED2E885D-25EF-42EE-8B29-5CE505F57F56}"/>
  <tableColumns count="4">
    <tableColumn id="1" xr3:uid="{E669A94B-732F-41EF-A1FA-5864257551C9}" uniqueName="1" name="Date" queryTableFieldId="1" dataDxfId="3"/>
    <tableColumn id="2" xr3:uid="{AB859CEF-1F09-4E50-92AE-DBC1CCB2AA76}" uniqueName="2" name="Product ID" queryTableFieldId="2" dataDxfId="2"/>
    <tableColumn id="3" xr3:uid="{AAC8DE3B-8E3D-47F8-A1A7-99EE612546BB}" uniqueName="3" name="Customer ID" queryTableFieldId="3" dataDxfId="1"/>
    <tableColumn id="4" xr3:uid="{C873AED4-8D2F-42AF-A14E-6EB88B73F73C}" uniqueName="4" name="Total Sale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8"/>
  <sheetViews>
    <sheetView tabSelected="1" zoomScale="115" zoomScaleNormal="115" workbookViewId="0">
      <selection activeCell="L12" sqref="L12:O19"/>
    </sheetView>
  </sheetViews>
  <sheetFormatPr defaultRowHeight="16.5" x14ac:dyDescent="0.3"/>
  <cols>
    <col min="1" max="1" width="2.875" customWidth="1"/>
    <col min="2" max="2" width="9" style="2" bestFit="1" customWidth="1"/>
    <col min="3" max="3" width="10.875" style="2" customWidth="1"/>
    <col min="4" max="4" width="12.25" style="2" customWidth="1"/>
    <col min="5" max="5" width="11" style="2" customWidth="1"/>
    <col min="6" max="6" width="15.75" customWidth="1"/>
    <col min="7" max="7" width="9.75" bestFit="1" customWidth="1"/>
    <col min="8" max="8" width="9.875" bestFit="1" customWidth="1"/>
    <col min="9" max="9" width="11.625" bestFit="1" customWidth="1"/>
    <col min="10" max="10" width="9.875" bestFit="1" customWidth="1"/>
    <col min="11" max="11" width="5.75" customWidth="1"/>
    <col min="12" max="12" width="9.125" bestFit="1" customWidth="1"/>
    <col min="13" max="13" width="11.875" bestFit="1" customWidth="1"/>
    <col min="14" max="14" width="13.625" bestFit="1" customWidth="1"/>
    <col min="15" max="15" width="11.875" bestFit="1" customWidth="1"/>
    <col min="16" max="16" width="5.5" customWidth="1"/>
    <col min="17" max="17" width="11.375" bestFit="1" customWidth="1"/>
  </cols>
  <sheetData>
    <row r="1" spans="2:20" ht="30.75" customHeight="1" x14ac:dyDescent="0.3"/>
    <row r="2" spans="2:20" s="9" customFormat="1" ht="22.5" customHeight="1" x14ac:dyDescent="0.3">
      <c r="B2" s="32" t="s">
        <v>1</v>
      </c>
      <c r="C2" s="32"/>
      <c r="D2" s="32"/>
      <c r="E2" s="32"/>
      <c r="G2" s="32" t="s">
        <v>0</v>
      </c>
      <c r="H2" s="32"/>
      <c r="I2" s="32"/>
      <c r="J2" s="32"/>
    </row>
    <row r="3" spans="2:20" s="9" customFormat="1" ht="14.25" x14ac:dyDescent="0.3">
      <c r="B3" s="25" t="s">
        <v>4</v>
      </c>
      <c r="C3" s="26" t="s">
        <v>3</v>
      </c>
      <c r="D3" s="26" t="s">
        <v>5</v>
      </c>
      <c r="E3" s="27" t="s">
        <v>2</v>
      </c>
      <c r="G3" s="10" t="s">
        <v>4</v>
      </c>
      <c r="H3" s="11" t="s">
        <v>3</v>
      </c>
      <c r="I3" s="11" t="s">
        <v>5</v>
      </c>
      <c r="J3" s="12" t="s">
        <v>2</v>
      </c>
    </row>
    <row r="4" spans="2:20" s="1" customFormat="1" ht="15" x14ac:dyDescent="0.25">
      <c r="B4" s="23">
        <v>45508</v>
      </c>
      <c r="C4" s="13" t="s">
        <v>12</v>
      </c>
      <c r="D4" s="13" t="s">
        <v>13</v>
      </c>
      <c r="E4" s="24">
        <v>900</v>
      </c>
      <c r="F4" s="3"/>
      <c r="G4" s="19">
        <v>45508</v>
      </c>
      <c r="H4" s="13" t="s">
        <v>12</v>
      </c>
      <c r="I4" s="13" t="s">
        <v>13</v>
      </c>
      <c r="J4" s="14">
        <v>900</v>
      </c>
    </row>
    <row r="5" spans="2:20" s="1" customFormat="1" ht="15" x14ac:dyDescent="0.25">
      <c r="B5" s="23">
        <v>45511</v>
      </c>
      <c r="C5" s="13" t="s">
        <v>6</v>
      </c>
      <c r="D5" s="13" t="s">
        <v>18</v>
      </c>
      <c r="E5" s="24">
        <v>1500</v>
      </c>
      <c r="F5" s="3"/>
      <c r="G5" s="19">
        <v>45511</v>
      </c>
      <c r="H5" s="13" t="s">
        <v>6</v>
      </c>
      <c r="I5" s="13" t="s">
        <v>18</v>
      </c>
      <c r="J5" s="14">
        <v>1500</v>
      </c>
      <c r="K5" s="15"/>
    </row>
    <row r="6" spans="2:20" s="1" customFormat="1" ht="15" x14ac:dyDescent="0.25">
      <c r="B6" s="23">
        <v>45511</v>
      </c>
      <c r="C6" s="13" t="s">
        <v>7</v>
      </c>
      <c r="D6" s="13" t="s">
        <v>10</v>
      </c>
      <c r="E6" s="24">
        <v>500</v>
      </c>
      <c r="F6" s="3"/>
      <c r="G6" s="19">
        <v>45511</v>
      </c>
      <c r="H6" s="13" t="s">
        <v>7</v>
      </c>
      <c r="I6" s="13" t="s">
        <v>10</v>
      </c>
      <c r="J6" s="14">
        <v>500</v>
      </c>
      <c r="K6" s="16"/>
    </row>
    <row r="7" spans="2:20" s="1" customFormat="1" ht="15" x14ac:dyDescent="0.25">
      <c r="B7" s="23">
        <v>45516</v>
      </c>
      <c r="C7" s="13" t="s">
        <v>14</v>
      </c>
      <c r="D7" s="13" t="s">
        <v>13</v>
      </c>
      <c r="E7" s="24">
        <v>600</v>
      </c>
      <c r="F7" s="3"/>
      <c r="G7" s="19">
        <v>45516</v>
      </c>
      <c r="H7" s="13" t="s">
        <v>14</v>
      </c>
      <c r="I7" s="13" t="s">
        <v>13</v>
      </c>
      <c r="J7" s="14">
        <v>600</v>
      </c>
      <c r="K7" s="16"/>
    </row>
    <row r="8" spans="2:20" s="1" customFormat="1" ht="15" x14ac:dyDescent="0.25">
      <c r="B8" s="23">
        <v>45518</v>
      </c>
      <c r="C8" s="13" t="s">
        <v>8</v>
      </c>
      <c r="D8" s="22" t="s">
        <v>17</v>
      </c>
      <c r="E8" s="24">
        <v>800</v>
      </c>
      <c r="F8" s="3"/>
      <c r="G8" s="19">
        <v>45518</v>
      </c>
      <c r="H8" s="13" t="s">
        <v>8</v>
      </c>
      <c r="I8" s="22" t="s">
        <v>11</v>
      </c>
      <c r="J8" s="14">
        <v>800</v>
      </c>
      <c r="K8" s="16"/>
    </row>
    <row r="9" spans="2:20" s="1" customFormat="1" ht="15" x14ac:dyDescent="0.25">
      <c r="B9" s="23">
        <v>45525</v>
      </c>
      <c r="C9" s="13" t="s">
        <v>9</v>
      </c>
      <c r="D9" s="22" t="s">
        <v>18</v>
      </c>
      <c r="E9" s="24">
        <v>1400</v>
      </c>
      <c r="F9" s="3"/>
      <c r="G9" s="19">
        <v>45525</v>
      </c>
      <c r="H9" s="13" t="s">
        <v>9</v>
      </c>
      <c r="I9" s="22" t="s">
        <v>10</v>
      </c>
      <c r="J9" s="14">
        <v>1400</v>
      </c>
      <c r="K9" s="16"/>
    </row>
    <row r="10" spans="2:20" s="1" customFormat="1" ht="15" x14ac:dyDescent="0.25">
      <c r="B10" s="28">
        <v>45530</v>
      </c>
      <c r="C10" s="29" t="s">
        <v>15</v>
      </c>
      <c r="D10" s="30" t="s">
        <v>19</v>
      </c>
      <c r="E10" s="31">
        <v>1700</v>
      </c>
      <c r="F10" s="3"/>
      <c r="G10" s="20">
        <v>45530</v>
      </c>
      <c r="H10" s="17" t="s">
        <v>15</v>
      </c>
      <c r="I10" s="21" t="s">
        <v>16</v>
      </c>
      <c r="J10" s="18">
        <v>1700</v>
      </c>
      <c r="K10" s="16"/>
    </row>
    <row r="11" spans="2:20" s="1" customFormat="1" x14ac:dyDescent="0.3">
      <c r="B11" s="2"/>
      <c r="C11" s="2"/>
      <c r="D11" s="8"/>
      <c r="E11" s="8"/>
      <c r="F11" s="3"/>
      <c r="J11" s="7"/>
      <c r="K11" s="5"/>
      <c r="L11" s="5"/>
      <c r="M11" s="6"/>
    </row>
    <row r="12" spans="2:20" s="1" customFormat="1" x14ac:dyDescent="0.3">
      <c r="B12" s="2"/>
      <c r="C12" s="2"/>
      <c r="D12" s="8"/>
      <c r="E12" s="8"/>
      <c r="F12" s="3"/>
      <c r="G12" s="1" t="str" cm="1">
        <f t="array" ref="G12:J19">_xlfn.LET(_xlpm._data_, tblStart[],
_xlpm._dates_, _xlfn.CHOOSECOLS(_xlpm._data_, 1),
_xlpm._customerIds_, _xlfn.CHOOSECOLS(_xlpm._data_, 3),
_xlpm._newCustomerIds_, IF(_xlpm._dates_ &gt;= DATE(2024, 8, 14), SUBSTITUTE(_xlpm._customerIds_, "X", "C",1), _xlpm._customerIds_),
_xlpm._headers_, tblStart[#Headers],
_xlpm._res_, _xlfn.VSTACK(_xlpm._headers_, IF({1,1,0,1}, _xlpm._data_, _xlpm._newCustomerIds_)),
_xlpm._res_)</f>
        <v>Date</v>
      </c>
      <c r="H12" s="1" t="str">
        <v>Product ID</v>
      </c>
      <c r="I12" s="1" t="str">
        <v>Customer ID</v>
      </c>
      <c r="J12" s="7" t="str">
        <v>Total Sales</v>
      </c>
      <c r="K12" s="5"/>
      <c r="L12" s="9" t="s">
        <v>4</v>
      </c>
      <c r="M12" s="9" t="s">
        <v>3</v>
      </c>
      <c r="N12" s="9" t="s">
        <v>5</v>
      </c>
      <c r="O12" s="9" t="s">
        <v>2</v>
      </c>
      <c r="Q12" s="1" t="str" cm="1">
        <f t="array" ref="Q12:T19">_xlfn._xlws.PY(0,0,B3:E10)</f>
        <v>Date</v>
      </c>
      <c r="R12" s="1" t="str">
        <v>Product ID</v>
      </c>
      <c r="S12" s="1" t="str">
        <v>Customer ID</v>
      </c>
      <c r="T12" s="1" t="str">
        <v>Total Sales</v>
      </c>
    </row>
    <row r="13" spans="2:20" x14ac:dyDescent="0.3">
      <c r="D13" s="8"/>
      <c r="E13" s="8"/>
      <c r="F13" s="4"/>
      <c r="G13" s="1">
        <v>45508</v>
      </c>
      <c r="H13" s="1" t="str">
        <v>XNM-12</v>
      </c>
      <c r="I13" t="str">
        <v>C-12</v>
      </c>
      <c r="J13">
        <v>900</v>
      </c>
      <c r="L13">
        <v>45508</v>
      </c>
      <c r="M13" t="s">
        <v>12</v>
      </c>
      <c r="N13" t="s">
        <v>13</v>
      </c>
      <c r="O13">
        <v>900</v>
      </c>
      <c r="Q13" vm="1">
        <v>45508</v>
      </c>
      <c r="R13" t="str">
        <v>XNM-12</v>
      </c>
      <c r="S13" t="str">
        <v>C-12</v>
      </c>
      <c r="T13">
        <v>900</v>
      </c>
    </row>
    <row r="14" spans="2:20" x14ac:dyDescent="0.3">
      <c r="G14">
        <v>45511</v>
      </c>
      <c r="H14" t="str">
        <v>XNM-13</v>
      </c>
      <c r="I14" t="str">
        <v>X-13</v>
      </c>
      <c r="J14">
        <v>1500</v>
      </c>
      <c r="L14">
        <v>45511</v>
      </c>
      <c r="M14" t="s">
        <v>6</v>
      </c>
      <c r="N14" t="s">
        <v>18</v>
      </c>
      <c r="O14">
        <v>1500</v>
      </c>
      <c r="Q14" vm="2">
        <v>45511</v>
      </c>
      <c r="R14" t="str">
        <v>XNM-13</v>
      </c>
      <c r="S14" t="str">
        <v>X-13</v>
      </c>
      <c r="T14">
        <v>1500</v>
      </c>
    </row>
    <row r="15" spans="2:20" x14ac:dyDescent="0.3">
      <c r="G15">
        <v>45511</v>
      </c>
      <c r="H15" t="str">
        <v>XNM-07</v>
      </c>
      <c r="I15" t="str">
        <v>C-13</v>
      </c>
      <c r="J15">
        <v>500</v>
      </c>
      <c r="L15">
        <v>45511</v>
      </c>
      <c r="M15" t="s">
        <v>7</v>
      </c>
      <c r="N15" t="s">
        <v>10</v>
      </c>
      <c r="O15">
        <v>500</v>
      </c>
      <c r="Q15" vm="2">
        <v>45511</v>
      </c>
      <c r="R15" t="str">
        <v>XNM-07</v>
      </c>
      <c r="S15" t="str">
        <v>C-13</v>
      </c>
      <c r="T15">
        <v>500</v>
      </c>
    </row>
    <row r="16" spans="2:20" x14ac:dyDescent="0.3">
      <c r="G16">
        <v>45516</v>
      </c>
      <c r="H16" t="str">
        <v>XNM-11</v>
      </c>
      <c r="I16" t="str">
        <v>C-12</v>
      </c>
      <c r="J16">
        <v>600</v>
      </c>
      <c r="L16">
        <v>45516</v>
      </c>
      <c r="M16" t="s">
        <v>14</v>
      </c>
      <c r="N16" t="s">
        <v>13</v>
      </c>
      <c r="O16">
        <v>600</v>
      </c>
      <c r="Q16" vm="3">
        <v>45516</v>
      </c>
      <c r="R16" t="str">
        <v>XNM-11</v>
      </c>
      <c r="S16" t="str">
        <v>C-12</v>
      </c>
      <c r="T16">
        <v>600</v>
      </c>
    </row>
    <row r="17" spans="7:20" x14ac:dyDescent="0.3">
      <c r="G17">
        <v>45518</v>
      </c>
      <c r="H17" t="str">
        <v>XNM-01</v>
      </c>
      <c r="I17" t="str">
        <v>C-16</v>
      </c>
      <c r="J17">
        <v>800</v>
      </c>
      <c r="L17">
        <v>45518</v>
      </c>
      <c r="M17" t="s">
        <v>8</v>
      </c>
      <c r="N17" t="s">
        <v>11</v>
      </c>
      <c r="O17">
        <v>800</v>
      </c>
      <c r="Q17" vm="4">
        <v>45518</v>
      </c>
      <c r="R17" t="str">
        <v>XNM-01</v>
      </c>
      <c r="S17" t="str">
        <v>C-16</v>
      </c>
      <c r="T17">
        <v>800</v>
      </c>
    </row>
    <row r="18" spans="7:20" x14ac:dyDescent="0.3">
      <c r="G18">
        <v>45525</v>
      </c>
      <c r="H18" t="str">
        <v>XNM-22</v>
      </c>
      <c r="I18" t="str">
        <v>C-13</v>
      </c>
      <c r="J18">
        <v>1400</v>
      </c>
      <c r="L18">
        <v>45525</v>
      </c>
      <c r="M18" t="s">
        <v>9</v>
      </c>
      <c r="N18" t="s">
        <v>10</v>
      </c>
      <c r="O18">
        <v>1400</v>
      </c>
      <c r="Q18" vm="5">
        <v>45525</v>
      </c>
      <c r="R18" t="str">
        <v>XNM-22</v>
      </c>
      <c r="S18" t="str">
        <v>C-13</v>
      </c>
      <c r="T18">
        <v>1400</v>
      </c>
    </row>
    <row r="19" spans="7:20" x14ac:dyDescent="0.3">
      <c r="G19">
        <v>45530</v>
      </c>
      <c r="H19" t="str">
        <v>XNM-14</v>
      </c>
      <c r="I19" t="str">
        <v>C-18</v>
      </c>
      <c r="J19">
        <v>1700</v>
      </c>
      <c r="L19">
        <v>45530</v>
      </c>
      <c r="M19" t="s">
        <v>15</v>
      </c>
      <c r="N19" t="s">
        <v>16</v>
      </c>
      <c r="O19">
        <v>1700</v>
      </c>
      <c r="Q19" vm="6">
        <v>45530</v>
      </c>
      <c r="R19" t="str">
        <v>XNM-14</v>
      </c>
      <c r="S19" t="str">
        <v>C-18</v>
      </c>
      <c r="T19">
        <v>1700</v>
      </c>
    </row>
    <row r="21" spans="7:20" x14ac:dyDescent="0.3">
      <c r="G21" s="5" t="b" cm="1">
        <f t="array" ref="G21:J28">_xlfn.ANCHORARRAY(G12)=G3:J10</f>
        <v>1</v>
      </c>
      <c r="H21" t="b">
        <v>1</v>
      </c>
      <c r="I21" t="b">
        <v>1</v>
      </c>
      <c r="J21" t="b">
        <v>1</v>
      </c>
      <c r="L21" s="9" t="b" cm="1">
        <f t="array" ref="L21:O28">tblSolution[#All]=G3:J10</f>
        <v>1</v>
      </c>
      <c r="M21" t="b">
        <v>1</v>
      </c>
      <c r="N21" t="b">
        <v>1</v>
      </c>
      <c r="O21" t="b">
        <v>1</v>
      </c>
      <c r="Q21" t="b" cm="1">
        <f t="array" ref="Q21:T28">_xlfn.ANCHORARRAY(Q12)=G3:J10</f>
        <v>1</v>
      </c>
      <c r="R21" t="b">
        <v>1</v>
      </c>
      <c r="S21" t="b">
        <v>1</v>
      </c>
      <c r="T21" t="b">
        <v>1</v>
      </c>
    </row>
    <row r="22" spans="7:20" x14ac:dyDescent="0.3">
      <c r="G22" t="b">
        <v>1</v>
      </c>
      <c r="H22" t="b">
        <v>1</v>
      </c>
      <c r="I22" t="b">
        <v>1</v>
      </c>
      <c r="J22" t="b">
        <v>1</v>
      </c>
      <c r="L22" t="b">
        <v>1</v>
      </c>
      <c r="M22" t="b">
        <v>1</v>
      </c>
      <c r="N22" t="b">
        <v>1</v>
      </c>
      <c r="O22" t="b">
        <v>1</v>
      </c>
      <c r="Q22" t="b">
        <v>1</v>
      </c>
      <c r="R22" t="b">
        <v>1</v>
      </c>
      <c r="S22" t="b">
        <v>1</v>
      </c>
      <c r="T22" t="b">
        <v>1</v>
      </c>
    </row>
    <row r="23" spans="7:20" x14ac:dyDescent="0.3">
      <c r="G23" t="b">
        <v>1</v>
      </c>
      <c r="H23" t="b">
        <v>1</v>
      </c>
      <c r="I23" t="b">
        <v>1</v>
      </c>
      <c r="J23" t="b">
        <v>1</v>
      </c>
      <c r="L23" t="b">
        <v>1</v>
      </c>
      <c r="M23" t="b">
        <v>1</v>
      </c>
      <c r="N23" t="b">
        <v>1</v>
      </c>
      <c r="O23" t="b">
        <v>1</v>
      </c>
      <c r="Q23" t="b">
        <v>1</v>
      </c>
      <c r="R23" t="b">
        <v>1</v>
      </c>
      <c r="S23" t="b">
        <v>1</v>
      </c>
      <c r="T23" t="b">
        <v>1</v>
      </c>
    </row>
    <row r="24" spans="7:20" x14ac:dyDescent="0.3">
      <c r="G24" t="b">
        <v>1</v>
      </c>
      <c r="H24" t="b">
        <v>1</v>
      </c>
      <c r="I24" t="b">
        <v>1</v>
      </c>
      <c r="J24" t="b">
        <v>1</v>
      </c>
      <c r="L24" t="b">
        <v>1</v>
      </c>
      <c r="M24" t="b">
        <v>1</v>
      </c>
      <c r="N24" t="b">
        <v>1</v>
      </c>
      <c r="O24" t="b">
        <v>1</v>
      </c>
      <c r="Q24" t="b">
        <v>1</v>
      </c>
      <c r="R24" t="b">
        <v>1</v>
      </c>
      <c r="S24" t="b">
        <v>1</v>
      </c>
      <c r="T24" t="b">
        <v>1</v>
      </c>
    </row>
    <row r="25" spans="7:20" x14ac:dyDescent="0.3">
      <c r="G25" t="b">
        <v>1</v>
      </c>
      <c r="H25" t="b">
        <v>1</v>
      </c>
      <c r="I25" t="b">
        <v>1</v>
      </c>
      <c r="J25" t="b">
        <v>1</v>
      </c>
      <c r="L25" t="b">
        <v>1</v>
      </c>
      <c r="M25" t="b">
        <v>1</v>
      </c>
      <c r="N25" t="b">
        <v>1</v>
      </c>
      <c r="O25" t="b">
        <v>1</v>
      </c>
      <c r="Q25" t="b">
        <v>1</v>
      </c>
      <c r="R25" t="b">
        <v>1</v>
      </c>
      <c r="S25" t="b">
        <v>1</v>
      </c>
      <c r="T25" t="b">
        <v>1</v>
      </c>
    </row>
    <row r="26" spans="7:20" x14ac:dyDescent="0.3">
      <c r="G26" t="b">
        <v>1</v>
      </c>
      <c r="H26" t="b">
        <v>1</v>
      </c>
      <c r="I26" t="b">
        <v>1</v>
      </c>
      <c r="J26" t="b">
        <v>1</v>
      </c>
      <c r="L26" t="b">
        <v>1</v>
      </c>
      <c r="M26" t="b">
        <v>1</v>
      </c>
      <c r="N26" t="b">
        <v>1</v>
      </c>
      <c r="O26" t="b">
        <v>1</v>
      </c>
      <c r="Q26" t="b">
        <v>1</v>
      </c>
      <c r="R26" t="b">
        <v>1</v>
      </c>
      <c r="S26" t="b">
        <v>1</v>
      </c>
      <c r="T26" t="b">
        <v>1</v>
      </c>
    </row>
    <row r="27" spans="7:20" x14ac:dyDescent="0.3">
      <c r="G27" t="b">
        <v>1</v>
      </c>
      <c r="H27" t="b">
        <v>1</v>
      </c>
      <c r="I27" t="b">
        <v>1</v>
      </c>
      <c r="J27" t="b">
        <v>1</v>
      </c>
      <c r="L27" t="b">
        <v>1</v>
      </c>
      <c r="M27" t="b">
        <v>1</v>
      </c>
      <c r="N27" t="b">
        <v>1</v>
      </c>
      <c r="O27" t="b">
        <v>1</v>
      </c>
      <c r="Q27" t="b">
        <v>1</v>
      </c>
      <c r="R27" t="b">
        <v>1</v>
      </c>
      <c r="S27" t="b">
        <v>1</v>
      </c>
      <c r="T27" t="b">
        <v>1</v>
      </c>
    </row>
    <row r="28" spans="7:20" x14ac:dyDescent="0.3">
      <c r="G28" t="b">
        <v>1</v>
      </c>
      <c r="H28" t="b">
        <v>1</v>
      </c>
      <c r="I28" t="b">
        <v>1</v>
      </c>
      <c r="J28" t="b">
        <v>1</v>
      </c>
      <c r="L28" t="b">
        <v>1</v>
      </c>
      <c r="M28" t="b">
        <v>1</v>
      </c>
      <c r="N28" t="b">
        <v>1</v>
      </c>
      <c r="O28" t="b">
        <v>1</v>
      </c>
      <c r="Q28" t="b">
        <v>1</v>
      </c>
      <c r="R28" t="b">
        <v>1</v>
      </c>
      <c r="S28" t="b">
        <v>1</v>
      </c>
      <c r="T28" t="b">
        <v>1</v>
      </c>
    </row>
  </sheetData>
  <sortState xmlns:xlrd2="http://schemas.microsoft.com/office/spreadsheetml/2017/richdata2" ref="J6:M12">
    <sortCondition ref="J9:J12"/>
  </sortState>
  <mergeCells count="2">
    <mergeCell ref="B2:E2"/>
    <mergeCell ref="G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2B8B9-203E-4EBB-A705-6B6B3B16262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2026-03-25T19:26:27Z</dcterms:modified>
</cp:coreProperties>
</file>