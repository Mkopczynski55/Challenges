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28" documentId="13_ncr:1_{8933A80C-EACE-4D85-B293-14659FFDDFF3}" xr6:coauthVersionLast="47" xr6:coauthVersionMax="47" xr10:uidLastSave="{37E70EB9-526B-4B2C-9562-FB889ECEF6B4}"/>
  <bookViews>
    <workbookView xWindow="23160" yWindow="0" windowWidth="28545" windowHeight="20985" xr2:uid="{00000000-000D-0000-FFFF-FFFF00000000}"/>
  </bookViews>
  <sheets>
    <sheet name="337" sheetId="1" r:id="rId1"/>
  </sheets>
  <definedNames>
    <definedName name="_xlnm._FilterDatabase" localSheetId="0" hidden="1">'337'!$B$2:$D$22</definedName>
    <definedName name="ExternalData_1" localSheetId="0" hidden="1">'337'!$J$9:$K$14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 a="1"/>
  <c r="M9" i="1" s="1"/>
  <c r="J2" i="1" a="1"/>
  <c r="J2" i="1" l="1"/>
  <c r="M2" i="1" a="1"/>
  <c r="M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A406C0-55A0-48CC-BC47-B6ECB9DF9244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<sst xmlns="http://schemas.openxmlformats.org/spreadsheetml/2006/main" count="46" uniqueCount="15">
  <si>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Question</t>
  </si>
  <si>
    <t>Result</t>
  </si>
  <si>
    <t>Issue ID</t>
  </si>
  <si>
    <t>X-01</t>
  </si>
  <si>
    <t>X-02</t>
  </si>
  <si>
    <t>X-03</t>
  </si>
  <si>
    <t>X-04</t>
  </si>
  <si>
    <t>X-05</t>
  </si>
  <si>
    <t>Level</t>
  </si>
  <si>
    <t>Level 1,2,3</t>
  </si>
  <si>
    <t>Level 1</t>
  </si>
  <si>
    <t>Level 1,3</t>
  </si>
  <si>
    <t>Level 2,3</t>
  </si>
  <si>
    <t>Level 3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</si>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</sst>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0" borderId="0" xfId="0" applyNumberFormat="1" applyFont="1" applyAlignment="1">
      <alignment horizontal="left"/>
    </xf>
    <xf numFmtId="14" fontId="2" fillId="0" borderId="2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4" borderId="6" xfId="0" applyNumberFormat="1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5" borderId="9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4" fontId="2" fillId="5" borderId="13" xfId="0" applyNumberFormat="1" applyFont="1" applyFill="1" applyBorder="1" applyAlignment="1">
      <alignment horizontal="center"/>
    </xf>
    <xf numFmtId="14" fontId="2" fillId="5" borderId="14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6" xfId="0" applyNumberFormat="1" applyFont="1" applyFill="1" applyBorder="1" applyAlignment="1">
      <alignment horizontal="center"/>
    </xf>
    <xf numFmtId="14" fontId="2" fillId="5" borderId="8" xfId="0" applyNumberFormat="1" applyFont="1" applyFill="1" applyBorder="1" applyAlignment="1">
      <alignment horizontal="center"/>
    </xf>
    <xf numFmtId="14" fontId="2" fillId="5" borderId="7" xfId="0" applyNumberFormat="1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4" fillId="3" borderId="1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557633C7-797D-4FE5-B109-5343E6831B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7</xdr:col>
      <xdr:colOff>926123</xdr:colOff>
      <xdr:row>18</xdr:row>
      <xdr:rowOff>17586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220058" y="1809750"/>
          <a:ext cx="2838450" cy="1732086"/>
        </a:xfrm>
        <a:prstGeom prst="roundRect">
          <a:avLst>
            <a:gd name="adj" fmla="val 1497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337:  Rows Grouping!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the rows associated with the same IDs as shown in the result table.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1188350</xdr:colOff>
      <xdr:row>7</xdr:row>
      <xdr:rowOff>32439</xdr:rowOff>
    </xdr:from>
    <xdr:to>
      <xdr:col>2</xdr:col>
      <xdr:colOff>0</xdr:colOff>
      <xdr:row>8</xdr:row>
      <xdr:rowOff>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A1EC0C9-4FD5-4498-8836-6351697922A8}"/>
            </a:ext>
          </a:extLst>
        </xdr:cNvPr>
        <xdr:cNvSpPr/>
      </xdr:nvSpPr>
      <xdr:spPr>
        <a:xfrm rot="16200000">
          <a:off x="3658687" y="1478196"/>
          <a:ext cx="149269" cy="956"/>
        </a:xfrm>
        <a:prstGeom prst="rightArrow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9889C5-1463-4186-B823-B1D58102E4C7}" autoFormatId="16" applyNumberFormats="0" applyBorderFormats="0" applyFontFormats="0" applyPatternFormats="0" applyAlignmentFormats="0" applyWidthHeightFormats="0">
  <queryTableRefresh nextId="3">
    <queryTableFields count="2">
      <queryTableField id="1" name="Issue ID" tableColumnId="1"/>
      <queryTableField id="2" name="Level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54C3B9-7D3C-4230-B4C1-B4D512D3644B}" name="tblStart" displayName="tblStart" ref="B2:C11" totalsRowShown="0" headerRowDxfId="5" headerRowBorderDxfId="4" tableBorderDxfId="3" totalsRowBorderDxfId="2">
  <tableColumns count="2">
    <tableColumn id="1" xr3:uid="{11E07E93-801B-4D67-B905-A436E5BC2308}" name="Issue ID" dataDxfId="1"/>
    <tableColumn id="2" xr3:uid="{BB066972-B64A-4F2F-A313-E45874BD7C32}" name="Leve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EC2BA6-A839-4C7D-9B19-C76BBB838D1B}" name="tblSolution" displayName="tblSolution" ref="J9:K14" tableType="queryTable" totalsRowShown="0">
  <autoFilter ref="J9:K14" xr:uid="{73EC2BA6-A839-4C7D-9B19-C76BBB838D1B}"/>
  <tableColumns count="2">
    <tableColumn id="1" xr3:uid="{2BADEED9-CE91-42A5-BE34-52B41991D84A}" uniqueName="1" name="Issue ID" queryTableFieldId="1"/>
    <tableColumn id="2" xr3:uid="{33546364-A7EA-4B5A-AC68-C551E8887D7F}" uniqueName="2" name="Level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asis">
  <a:themeElements>
    <a:clrScheme name="Basis">
      <a:dk1>
        <a:srgbClr val="000000"/>
      </a:dk1>
      <a:lt1>
        <a:srgbClr val="FFFFFF"/>
      </a:lt1>
      <a:dk2>
        <a:srgbClr val="565349"/>
      </a:dk2>
      <a:lt2>
        <a:srgbClr val="DDDDDD"/>
      </a:lt2>
      <a:accent1>
        <a:srgbClr val="A6B727"/>
      </a:accent1>
      <a:accent2>
        <a:srgbClr val="DF5327"/>
      </a:accent2>
      <a:accent3>
        <a:srgbClr val="FE9E00"/>
      </a:accent3>
      <a:accent4>
        <a:srgbClr val="418AB3"/>
      </a:accent4>
      <a:accent5>
        <a:srgbClr val="D7D447"/>
      </a:accent5>
      <a:accent6>
        <a:srgbClr val="818183"/>
      </a:accent6>
      <a:hlink>
        <a:srgbClr val="F59E00"/>
      </a:hlink>
      <a:folHlink>
        <a:srgbClr val="B2B2B2"/>
      </a:folHlink>
    </a:clrScheme>
    <a:fontScheme name="Basi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sis">
      <a:fillStyleLst>
        <a:solidFill>
          <a:schemeClr val="phClr"/>
        </a:solidFill>
        <a:solidFill>
          <a:schemeClr val="phClr">
            <a:tint val="55000"/>
            <a:satMod val="13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  <a:satMod val="105000"/>
              </a:schemeClr>
            </a:gs>
            <a:gs pos="100000">
              <a:schemeClr val="phClr">
                <a:shade val="80000"/>
                <a:satMod val="12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5397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27000"/>
                <a:satMod val="12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95000"/>
            <a:satMod val="140000"/>
          </a:schemeClr>
        </a:solidFill>
        <a:solidFill>
          <a:schemeClr val="phClr">
            <a:tint val="90000"/>
            <a:shade val="85000"/>
            <a:satMod val="160000"/>
            <a:lumMod val="11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sis" id="{5665723A-49BA-4B57-8411-A56F8F207965}" vid="{90E45F77-AEFC-46EF-A7C1-5B338C297B02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5FE78-6D30-44CD-B82A-0A33CA6C047D}">
  <we:reference id="wa200003696" version="1.3.0.0" store="pl-PL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130" zoomScaleNormal="130" workbookViewId="0">
      <selection activeCell="B14" sqref="B14"/>
    </sheetView>
  </sheetViews>
  <sheetFormatPr defaultRowHeight="15" x14ac:dyDescent="0.25"/>
  <cols>
    <col min="1" max="1" width="3.125" customWidth="1"/>
    <col min="2" max="3" width="10.625" style="4" customWidth="1"/>
    <col min="4" max="6" width="4.625" customWidth="1"/>
    <col min="7" max="7" width="15.875" style="5" bestFit="1" customWidth="1"/>
    <col min="8" max="8" width="13.5" customWidth="1"/>
    <col min="10" max="10" width="9" bestFit="1" customWidth="1"/>
  </cols>
  <sheetData>
    <row r="1" spans="1:14" s="7" customFormat="1" ht="22.5" customHeight="1" x14ac:dyDescent="0.25">
      <c r="B1" s="29" t="s">
        <v>0</v>
      </c>
      <c r="C1" s="30"/>
      <c r="E1"/>
      <c r="G1" s="29" t="s">
        <v>1</v>
      </c>
      <c r="H1" s="30"/>
    </row>
    <row r="2" spans="1:14" s="2" customFormat="1" x14ac:dyDescent="0.25">
      <c r="B2" s="26" t="s">
        <v>2</v>
      </c>
      <c r="C2" s="27" t="s">
        <v>8</v>
      </c>
      <c r="D2" s="3"/>
      <c r="E2"/>
      <c r="G2" s="6" t="s">
        <v>2</v>
      </c>
      <c r="H2" s="12" t="s">
        <v>8</v>
      </c>
      <c r="J2" s="28" t="str" cm="1">
        <f t="array" ref="J2:K7">_xlfn.LET(
_xlpm._data_, tblStart[],
_xlpm._ids_, _xlfn.CHOOSECOLS(_xlpm._data_, 1),
_xlpm._lvls_, _xlfn.CHOOSECOLS(_xlpm._data_, 2),
_xlpm._group_, _xlfn.GROUPBY(_xlpm._ids_, _xlpm._lvls_, _xlfn.LAMBDA(_xlpm.x, "Level " &amp; SUBSTITUTE(_xlfn.TEXTJOIN(",", 1, _xlpm.x), "Level ", "")),0,0),
_xlpm._sol_, _xlfn.VSTACK({"Issue ID","Level"}, _xlpm._group_),
_xlpm._sol_)</f>
        <v>Issue ID</v>
      </c>
      <c r="K2" s="2" t="str">
        <v>Level</v>
      </c>
      <c r="M2" s="2" t="b" cm="1">
        <f t="array" ref="M2:N7">G2:H7=_xlfn.ANCHORARRAY(J2)</f>
        <v>1</v>
      </c>
      <c r="N2" s="2" t="b">
        <v>1</v>
      </c>
    </row>
    <row r="3" spans="1:14" s="2" customFormat="1" x14ac:dyDescent="0.25">
      <c r="B3" s="16" t="s">
        <v>3</v>
      </c>
      <c r="C3" s="17" t="s">
        <v>10</v>
      </c>
      <c r="D3" s="8"/>
      <c r="E3"/>
      <c r="G3" s="14" t="s">
        <v>3</v>
      </c>
      <c r="H3" s="15" t="s">
        <v>11</v>
      </c>
      <c r="I3" s="10"/>
      <c r="J3" s="10" t="str">
        <v>X-01</v>
      </c>
      <c r="K3" s="10" t="str">
        <v>Level 1,3</v>
      </c>
      <c r="L3" s="8"/>
      <c r="M3" s="2" t="b">
        <v>1</v>
      </c>
      <c r="N3" s="2" t="b">
        <v>1</v>
      </c>
    </row>
    <row r="4" spans="1:14" s="2" customFormat="1" x14ac:dyDescent="0.25">
      <c r="B4" s="16" t="s">
        <v>3</v>
      </c>
      <c r="C4" s="17" t="s">
        <v>13</v>
      </c>
      <c r="D4" s="8"/>
      <c r="E4"/>
      <c r="G4" s="14" t="s">
        <v>4</v>
      </c>
      <c r="H4" s="15" t="s">
        <v>10</v>
      </c>
      <c r="I4" s="10"/>
      <c r="J4" s="10" t="str">
        <v>X-02</v>
      </c>
      <c r="K4" s="10" t="str">
        <v>Level 1</v>
      </c>
      <c r="L4" s="8"/>
      <c r="M4" s="2" t="b">
        <v>1</v>
      </c>
      <c r="N4" s="2" t="b">
        <v>1</v>
      </c>
    </row>
    <row r="5" spans="1:14" s="2" customFormat="1" x14ac:dyDescent="0.25">
      <c r="B5" s="18" t="s">
        <v>4</v>
      </c>
      <c r="C5" s="19" t="s">
        <v>10</v>
      </c>
      <c r="D5" s="8"/>
      <c r="E5"/>
      <c r="G5" s="11" t="s">
        <v>5</v>
      </c>
      <c r="H5" s="13" t="s">
        <v>12</v>
      </c>
      <c r="I5" s="10"/>
      <c r="J5" s="10" t="str">
        <v>X-03</v>
      </c>
      <c r="K5" s="10" t="str">
        <v>Level 2,3</v>
      </c>
      <c r="L5" s="8"/>
      <c r="M5" s="2" t="b">
        <v>1</v>
      </c>
      <c r="N5" s="2" t="b">
        <v>1</v>
      </c>
    </row>
    <row r="6" spans="1:14" s="2" customFormat="1" x14ac:dyDescent="0.25">
      <c r="B6" s="18" t="s">
        <v>5</v>
      </c>
      <c r="C6" s="19" t="s">
        <v>14</v>
      </c>
      <c r="D6" s="8"/>
      <c r="E6"/>
      <c r="G6" s="11" t="s">
        <v>6</v>
      </c>
      <c r="H6" s="13" t="s">
        <v>13</v>
      </c>
      <c r="I6" s="10"/>
      <c r="J6" s="10" t="str">
        <v>X-04</v>
      </c>
      <c r="K6" s="10" t="str">
        <v>Level 3</v>
      </c>
      <c r="L6" s="8"/>
      <c r="M6" s="2" t="b">
        <v>1</v>
      </c>
      <c r="N6" s="2" t="b">
        <v>1</v>
      </c>
    </row>
    <row r="7" spans="1:14" s="2" customFormat="1" x14ac:dyDescent="0.25">
      <c r="B7" s="20" t="s">
        <v>5</v>
      </c>
      <c r="C7" s="21" t="s">
        <v>13</v>
      </c>
      <c r="D7" s="8"/>
      <c r="E7" s="8"/>
      <c r="F7"/>
      <c r="G7" s="11" t="s">
        <v>7</v>
      </c>
      <c r="H7" s="13" t="s">
        <v>9</v>
      </c>
      <c r="I7"/>
      <c r="J7" t="str">
        <v>X-05</v>
      </c>
      <c r="K7" t="str">
        <v>Level 1,2,3</v>
      </c>
      <c r="L7"/>
      <c r="M7" s="2" t="b">
        <v>1</v>
      </c>
      <c r="N7" s="2" t="b">
        <v>1</v>
      </c>
    </row>
    <row r="8" spans="1:14" s="2" customFormat="1" x14ac:dyDescent="0.25">
      <c r="B8" s="22" t="s">
        <v>6</v>
      </c>
      <c r="C8" s="23" t="s">
        <v>13</v>
      </c>
      <c r="D8" s="8"/>
      <c r="E8" s="9"/>
      <c r="F8"/>
      <c r="G8" s="5"/>
      <c r="H8"/>
      <c r="I8"/>
      <c r="J8"/>
      <c r="K8"/>
      <c r="L8"/>
      <c r="M8"/>
    </row>
    <row r="9" spans="1:14" x14ac:dyDescent="0.25">
      <c r="B9" s="24" t="s">
        <v>7</v>
      </c>
      <c r="C9" s="23" t="s">
        <v>10</v>
      </c>
      <c r="D9" s="8"/>
      <c r="E9" s="9"/>
      <c r="J9" t="s">
        <v>2</v>
      </c>
      <c r="K9" t="s">
        <v>8</v>
      </c>
      <c r="M9" t="b" cm="1">
        <f t="array" ref="M9:N14">tblSolution[#All]=G2:H7</f>
        <v>1</v>
      </c>
      <c r="N9" t="b">
        <v>1</v>
      </c>
    </row>
    <row r="10" spans="1:14" x14ac:dyDescent="0.25">
      <c r="B10" s="24" t="s">
        <v>7</v>
      </c>
      <c r="C10" s="23" t="s">
        <v>14</v>
      </c>
      <c r="D10" s="8"/>
      <c r="E10" s="9"/>
      <c r="J10" t="s">
        <v>3</v>
      </c>
      <c r="K10" t="s">
        <v>11</v>
      </c>
      <c r="M10" t="b">
        <v>1</v>
      </c>
      <c r="N10" t="b">
        <v>1</v>
      </c>
    </row>
    <row r="11" spans="1:14" x14ac:dyDescent="0.25">
      <c r="A11" s="1"/>
      <c r="B11" s="25" t="s">
        <v>7</v>
      </c>
      <c r="C11" s="23" t="s">
        <v>13</v>
      </c>
      <c r="D11" s="8"/>
      <c r="E11" s="9"/>
      <c r="J11" t="s">
        <v>4</v>
      </c>
      <c r="K11" t="s">
        <v>10</v>
      </c>
      <c r="M11" t="b">
        <v>1</v>
      </c>
      <c r="N11" t="b">
        <v>1</v>
      </c>
    </row>
    <row r="12" spans="1:14" x14ac:dyDescent="0.25">
      <c r="A12" s="1"/>
      <c r="D12" s="8"/>
      <c r="E12" s="9"/>
      <c r="J12" t="s">
        <v>5</v>
      </c>
      <c r="K12" t="s">
        <v>12</v>
      </c>
      <c r="M12" t="b">
        <v>1</v>
      </c>
      <c r="N12" t="b">
        <v>1</v>
      </c>
    </row>
    <row r="13" spans="1:14" x14ac:dyDescent="0.25">
      <c r="A13" s="1"/>
      <c r="D13" s="8"/>
      <c r="E13" s="9"/>
      <c r="J13" t="s">
        <v>6</v>
      </c>
      <c r="K13" t="s">
        <v>13</v>
      </c>
      <c r="M13" t="b">
        <v>1</v>
      </c>
      <c r="N13" t="b">
        <v>1</v>
      </c>
    </row>
    <row r="14" spans="1:14" x14ac:dyDescent="0.25">
      <c r="A14" s="1"/>
      <c r="D14" s="8"/>
      <c r="E14" s="9"/>
      <c r="J14" t="s">
        <v>7</v>
      </c>
      <c r="K14" t="s">
        <v>9</v>
      </c>
      <c r="M14" t="b">
        <v>1</v>
      </c>
      <c r="N14" t="b">
        <v>1</v>
      </c>
    </row>
    <row r="15" spans="1:14" x14ac:dyDescent="0.25">
      <c r="A15" s="1"/>
      <c r="D15" s="8"/>
      <c r="E15" s="9"/>
    </row>
    <row r="16" spans="1:14" x14ac:dyDescent="0.25">
      <c r="A16" s="1"/>
      <c r="D16" s="8"/>
      <c r="E16" s="1"/>
    </row>
    <row r="17" spans="1:13" x14ac:dyDescent="0.25">
      <c r="A17" s="1"/>
      <c r="D17" s="8"/>
      <c r="E17" s="1"/>
    </row>
    <row r="18" spans="1:13" x14ac:dyDescent="0.25">
      <c r="A18" s="1"/>
      <c r="D18" s="8"/>
      <c r="E18" s="1"/>
      <c r="M18" s="2"/>
    </row>
    <row r="19" spans="1:13" x14ac:dyDescent="0.25">
      <c r="A19" s="1"/>
      <c r="D19" s="8"/>
      <c r="E19" s="1"/>
    </row>
    <row r="20" spans="1:13" x14ac:dyDescent="0.25">
      <c r="D20" s="8"/>
      <c r="E20" s="1"/>
    </row>
    <row r="21" spans="1:13" x14ac:dyDescent="0.25">
      <c r="D21" s="8"/>
      <c r="E21" s="1"/>
    </row>
    <row r="22" spans="1:13" x14ac:dyDescent="0.25">
      <c r="D22" s="8"/>
    </row>
  </sheetData>
  <sortState xmlns:xlrd2="http://schemas.microsoft.com/office/spreadsheetml/2017/richdata2" ref="B3:C7">
    <sortCondition ref="B7"/>
  </sortState>
  <mergeCells count="2">
    <mergeCell ref="B1:C1"/>
    <mergeCell ref="G1:H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9E7E7-B074-45D6-8753-7BC70918D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2026-01-03T12:42:05Z</dcterms:modified>
</cp:coreProperties>
</file>