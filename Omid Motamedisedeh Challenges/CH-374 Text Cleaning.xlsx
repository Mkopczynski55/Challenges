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3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13" documentId="13_ncr:1_{76B83FAA-252C-483F-94CF-047BB06A3A92}" xr6:coauthVersionLast="47" xr6:coauthVersionMax="47" xr10:uidLastSave="{CC9DD30D-01BD-4509-935A-7FB028679785}"/>
  <bookViews>
    <workbookView xWindow="-120" yWindow="-120" windowWidth="29040" windowHeight="15720" xr2:uid="{00000000-000D-0000-FFFF-FFFF00000000}"/>
  </bookViews>
  <sheets>
    <sheet name="374" sheetId="1" r:id="rId1"/>
    <sheet name="README" sheetId="2" r:id="rId2"/>
  </sheets>
  <definedNames>
    <definedName name="_xlnm._FilterDatabase" localSheetId="0" hidden="1">'374'!$B$3:$B$16</definedName>
    <definedName name="_solution_">'374'!$E$3:$E$8</definedName>
    <definedName name="ExternalData_1" localSheetId="0" hidden="1">'374'!$N$3:$N$8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 a="1"/>
  <c r="P3" i="1" s="1"/>
  <c r="K3" i="1" a="1"/>
  <c r="N11" i="1" a="1"/>
  <c r="N11" i="1" s="1"/>
  <c r="B13" i="2"/>
  <c r="K3" i="1" l="1"/>
  <c r="K11" i="1" a="1"/>
  <c r="K11" i="1" s="1"/>
  <c r="P11" i="1" a="1"/>
  <c r="P1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9F54E-A0B4-44C1-B47C-804E1884C24C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re
df = xl(%P2%, headers=True)
pattern = r"((.)(.*?)\2)"
def extract_inner(text):
    matches = re.finditer(pattern, text)
    return ", ".join(m.group(3) for m in matches)
df["ID"] = df["ID"].astype(str).apply(extract_inner)
df</code>
    </pythonScript>
  </pythonScripts>
</python>
</file>

<file path=xl/sharedStrings.xml><?xml version="1.0" encoding="utf-8"?>
<sst xmlns="http://schemas.openxmlformats.org/spreadsheetml/2006/main" count="42" uniqueCount="36">
  <si>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</si>
  <si>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</si>
  <si>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</si>
  <si>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</si>
  <si>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</si>
  <si>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</si>
  <si>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</si>
  <si>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</si>
  <si>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</si>
  <si>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</si>
  <si>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</si>
  <si>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</si>
  <si>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</si>
  <si>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</si>
  <si>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</si>
  <si>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</si>
  <si>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</si>
  <si>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Question Table</t>
  </si>
  <si>
    <t>ID</t>
  </si>
  <si>
    <t>Result</t>
  </si>
  <si>
    <r>
      <t>FM</t>
    </r>
    <r>
      <rPr>
        <sz val="11"/>
        <color rgb="FF00B050"/>
        <rFont val="Times New Roman"/>
        <family val="1"/>
      </rPr>
      <t>N</t>
    </r>
    <r>
      <rPr>
        <sz val="11"/>
        <color theme="1"/>
        <rFont val="Times New Roman"/>
        <family val="1"/>
      </rPr>
      <t>M</t>
    </r>
  </si>
  <si>
    <r>
      <t>1x</t>
    </r>
    <r>
      <rPr>
        <sz val="11"/>
        <color rgb="FF00B050"/>
        <rFont val="Times New Roman"/>
        <family val="1"/>
      </rPr>
      <t>2y</t>
    </r>
    <r>
      <rPr>
        <sz val="11"/>
        <color theme="1"/>
        <rFont val="Times New Roman"/>
        <family val="1"/>
      </rPr>
      <t>x</t>
    </r>
  </si>
  <si>
    <r>
      <t>F</t>
    </r>
    <r>
      <rPr>
        <sz val="11"/>
        <color rgb="FF00B050"/>
        <rFont val="Times New Roman"/>
        <family val="1"/>
      </rPr>
      <t>M</t>
    </r>
    <r>
      <rPr>
        <sz val="11"/>
        <color theme="1"/>
        <rFont val="Times New Roman"/>
        <family val="1"/>
      </rPr>
      <t>FRG</t>
    </r>
    <r>
      <rPr>
        <sz val="11"/>
        <color rgb="FF00B050"/>
        <rFont val="Times New Roman"/>
        <family val="1"/>
      </rPr>
      <t>KN</t>
    </r>
    <r>
      <rPr>
        <sz val="11"/>
        <color theme="1"/>
        <rFont val="Times New Roman"/>
        <family val="1"/>
      </rPr>
      <t>G</t>
    </r>
  </si>
  <si>
    <t>PRNM</t>
  </si>
  <si>
    <t>SFNSBMFN</t>
  </si>
  <si>
    <t>N</t>
  </si>
  <si>
    <t>2y</t>
  </si>
  <si>
    <t>M, KN</t>
  </si>
  <si>
    <t>FN, NSBM, SBMF</t>
  </si>
  <si>
    <t>Excel Solution</t>
  </si>
  <si>
    <t>Power Query Solution</t>
  </si>
  <si>
    <t>Python Solution</t>
  </si>
  <si>
    <t>Excel Check</t>
  </si>
  <si>
    <t>Power Query Check</t>
  </si>
  <si>
    <t>Python Check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</si>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</sst>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charset val="238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b/>
      <sz val="11"/>
      <color theme="1" tint="4.9989318521683403E-2"/>
      <name val="Times New Roman"/>
      <family val="1"/>
    </font>
    <font>
      <sz val="11"/>
      <color rgb="FF00B050"/>
      <name val="Times New Roman"/>
      <family val="1"/>
    </font>
    <font>
      <b/>
      <sz val="11"/>
      <color theme="1"/>
      <name val="Century Gothic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6" fillId="4" borderId="1" xfId="0" applyFont="1" applyFill="1" applyBorder="1" applyAlignment="1">
      <alignment horizontal="center"/>
    </xf>
    <xf numFmtId="14" fontId="13" fillId="4" borderId="4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4" fontId="3" fillId="2" borderId="5" xfId="0" applyNumberFormat="1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14" fontId="3" fillId="2" borderId="6" xfId="0" applyNumberFormat="1" applyFont="1" applyFill="1" applyBorder="1" applyAlignment="1">
      <alignment horizontal="center"/>
    </xf>
    <xf numFmtId="1" fontId="3" fillId="2" borderId="6" xfId="0" applyNumberFormat="1" applyFont="1" applyFill="1" applyBorder="1" applyAlignment="1">
      <alignment horizontal="center"/>
    </xf>
    <xf numFmtId="0" fontId="15" fillId="0" borderId="0" xfId="0" applyFont="1"/>
    <xf numFmtId="0" fontId="1" fillId="0" borderId="0" xfId="0" applyFont="1"/>
  </cellXfs>
  <cellStyles count="2">
    <cellStyle name="Hiperłącze" xfId="1" builtinId="8"/>
    <cellStyle name="Normalny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745E04E0-26ED-4987-8F94-26E59A912CAD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3/09/relationships/Python" Target="python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9</xdr:row>
      <xdr:rowOff>29306</xdr:rowOff>
    </xdr:from>
    <xdr:to>
      <xdr:col>5</xdr:col>
      <xdr:colOff>212482</xdr:colOff>
      <xdr:row>20</xdr:row>
      <xdr:rowOff>58616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285998"/>
          <a:ext cx="3833447" cy="236659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374: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Text Cleaning!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id column in the question table, extract all the parts between two repetitive characters.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7</xdr:col>
      <xdr:colOff>153866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13677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73270</xdr:rowOff>
    </xdr:from>
    <xdr:to>
      <xdr:col>1</xdr:col>
      <xdr:colOff>411480</xdr:colOff>
      <xdr:row>11</xdr:row>
      <xdr:rowOff>185812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117482"/>
          <a:ext cx="638615" cy="749984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603742</xdr:colOff>
      <xdr:row>18</xdr:row>
      <xdr:rowOff>49822</xdr:rowOff>
    </xdr:from>
    <xdr:to>
      <xdr:col>4</xdr:col>
      <xdr:colOff>1189894</xdr:colOff>
      <xdr:row>19</xdr:row>
      <xdr:rowOff>175844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022967" y="4050322"/>
          <a:ext cx="1624377" cy="33557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254978</xdr:colOff>
      <xdr:row>18</xdr:row>
      <xdr:rowOff>49822</xdr:rowOff>
    </xdr:from>
    <xdr:to>
      <xdr:col>2</xdr:col>
      <xdr:colOff>540732</xdr:colOff>
      <xdr:row>19</xdr:row>
      <xdr:rowOff>175845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83578" y="4050322"/>
          <a:ext cx="1476379" cy="33557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277C2B-C292-40B3-AB41-479C20D169F0}" autoFormatId="16" applyNumberFormats="0" applyBorderFormats="0" applyFontFormats="0" applyPatternFormats="0" applyAlignmentFormats="0" applyWidthHeightFormats="0">
  <queryTableRefresh nextId="2">
    <queryTableFields count="1">
      <queryTableField id="1" name="I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blStart" displayName="tblStart" ref="B3:B8" totalsRowShown="0" headerRowDxfId="8" dataDxfId="6" headerRowBorderDxfId="7" tableBorderDxfId="5" totalsRowBorderDxfId="4">
  <tableColumns count="1">
    <tableColumn id="1" xr3:uid="{55ED431F-4AD8-4DF7-85D4-88FC916290AF}" name="I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8920D0-766E-45EE-9465-6A5BEA741726}" name="tblSolution" displayName="tblSolution" ref="N3:N8" tableType="queryTable" totalsRowShown="0" headerRowDxfId="0" dataDxfId="1">
  <autoFilter ref="N3:N8" xr:uid="{7C8920D0-766E-45EE-9465-6A5BEA741726}"/>
  <tableColumns count="1">
    <tableColumn id="1" xr3:uid="{75AD5CD6-2FE8-49FC-94DD-D08062239417}" uniqueName="1" name="ID" queryTableFieldId="1" dataDxfId="2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showGridLines="0" tabSelected="1" topLeftCell="B3" zoomScaleNormal="100" workbookViewId="0">
      <selection activeCell="I11" sqref="I11"/>
    </sheetView>
  </sheetViews>
  <sheetFormatPr defaultRowHeight="16.5" x14ac:dyDescent="0.3"/>
  <cols>
    <col min="1" max="1" width="3" customWidth="1"/>
    <col min="2" max="2" width="15.625" style="3" customWidth="1"/>
    <col min="4" max="4" width="4.625" customWidth="1"/>
    <col min="5" max="5" width="15.625" customWidth="1"/>
    <col min="6" max="7" width="4.75" customWidth="1"/>
    <col min="11" max="13" width="17.375" customWidth="1"/>
    <col min="14" max="14" width="19.75" bestFit="1" customWidth="1"/>
    <col min="15" max="16" width="17.375" customWidth="1"/>
  </cols>
  <sheetData>
    <row r="1" spans="1:16" ht="30.6" customHeight="1" x14ac:dyDescent="0.3"/>
    <row r="2" spans="1:16" s="4" customFormat="1" ht="22.5" customHeight="1" x14ac:dyDescent="0.3">
      <c r="B2" s="14" t="s">
        <v>17</v>
      </c>
      <c r="E2" s="13" t="s">
        <v>19</v>
      </c>
      <c r="K2" s="4" t="s">
        <v>29</v>
      </c>
      <c r="N2" s="4" t="s">
        <v>30</v>
      </c>
      <c r="P2" s="4" t="s">
        <v>31</v>
      </c>
    </row>
    <row r="3" spans="1:16" s="2" customFormat="1" ht="15" x14ac:dyDescent="0.25">
      <c r="B3" s="11" t="s">
        <v>18</v>
      </c>
      <c r="E3" s="12" t="s">
        <v>18</v>
      </c>
      <c r="K3" s="2" t="str" cm="1">
        <f t="array" ref="K3:K8">_xlfn.LET(
_xlpm._data_,tblStart[ID],
_xlpm._map_,_xlfn.MAP(_xlpm._data_,_xlfn.LAMBDA(_xlpm.t,_xlfn.LET(_xlpm.r,_xlfn.TOCOL(_xlfn.UNIQUE(_xlfn.MAP(MID(_xlpm.t,_xlfn.SEQUENCE(LEN(_xlpm.t)),100),_xlfn.LAMBDA(_xlpm.r,_xlfn.REGEXEXTRACT(_xlpm.r,"((.)(.*?)\2)",0)))),3),_xlpm.l,LEN(_xlpm.r),_xlpm.comb,MID(_xlpm.r,2,_xlpm.l-2),_xlpm.sol,_xlfn.TEXTJOIN(", ",1,_xlpm.comb),_xlpm.sol))),
_xlpm._res_, _xlfn.VSTACK("ID", IFERROR(_xlpm._map_, "")),
_xlpm._res_)</f>
        <v>ID</v>
      </c>
      <c r="N3" s="2" t="s">
        <v>18</v>
      </c>
      <c r="P3" s="2" t="str" cm="1">
        <f t="array" ref="P3:P8">_xlfn._xlws.PY(0,0,B3:B8)</f>
        <v>ID</v>
      </c>
    </row>
    <row r="4" spans="1:16" s="2" customFormat="1" x14ac:dyDescent="0.3">
      <c r="B4" s="16" t="s">
        <v>20</v>
      </c>
      <c r="E4" s="18" t="s">
        <v>25</v>
      </c>
      <c r="K4" s="2" t="str">
        <v>N</v>
      </c>
      <c r="N4" t="s">
        <v>25</v>
      </c>
      <c r="P4" s="2" t="str">
        <v>N</v>
      </c>
    </row>
    <row r="5" spans="1:16" s="2" customFormat="1" x14ac:dyDescent="0.3">
      <c r="B5" s="16" t="s">
        <v>21</v>
      </c>
      <c r="E5" s="18" t="s">
        <v>26</v>
      </c>
      <c r="K5" s="2" t="str">
        <v>2y</v>
      </c>
      <c r="N5" t="s">
        <v>26</v>
      </c>
      <c r="P5" s="2" t="str">
        <v>2y</v>
      </c>
    </row>
    <row r="6" spans="1:16" s="2" customFormat="1" x14ac:dyDescent="0.3">
      <c r="B6" s="17" t="s">
        <v>22</v>
      </c>
      <c r="E6" s="19" t="s">
        <v>27</v>
      </c>
      <c r="K6" s="2" t="str">
        <v>M, KN</v>
      </c>
      <c r="N6" t="s">
        <v>27</v>
      </c>
      <c r="P6" s="2" t="str">
        <v>M, KN</v>
      </c>
    </row>
    <row r="7" spans="1:16" s="2" customFormat="1" x14ac:dyDescent="0.3">
      <c r="B7" s="17" t="s">
        <v>23</v>
      </c>
      <c r="E7" s="19"/>
      <c r="K7" s="2" t="str">
        <v/>
      </c>
      <c r="N7" t="s">
        <v>35</v>
      </c>
      <c r="P7" s="2" t="str">
        <v/>
      </c>
    </row>
    <row r="8" spans="1:16" x14ac:dyDescent="0.3">
      <c r="A8" s="1"/>
      <c r="B8" s="17" t="s">
        <v>24</v>
      </c>
      <c r="E8" s="19" t="s">
        <v>28</v>
      </c>
      <c r="K8" s="2" t="str">
        <v>FN, NSBM, SBMF</v>
      </c>
      <c r="L8" s="2"/>
      <c r="N8" t="s">
        <v>28</v>
      </c>
      <c r="P8" t="str">
        <v>FN</v>
      </c>
    </row>
    <row r="9" spans="1:16" x14ac:dyDescent="0.3">
      <c r="A9" s="1"/>
      <c r="B9" s="15"/>
      <c r="K9" s="2"/>
      <c r="L9" s="2"/>
    </row>
    <row r="10" spans="1:16" x14ac:dyDescent="0.3">
      <c r="A10" s="1"/>
      <c r="K10" s="20" t="s">
        <v>32</v>
      </c>
      <c r="L10" s="20"/>
      <c r="N10" s="20" t="s">
        <v>33</v>
      </c>
      <c r="O10" s="21"/>
      <c r="P10" s="20" t="s">
        <v>34</v>
      </c>
    </row>
    <row r="11" spans="1:16" x14ac:dyDescent="0.3">
      <c r="A11" s="1"/>
      <c r="K11" t="b" cm="1">
        <f t="array" ref="K11:K16">_xlfn.ANCHORARRAY(K3)=_solution_</f>
        <v>1</v>
      </c>
      <c r="N11" t="b" cm="1">
        <f t="array" ref="N11:N16">tblSolution[[#All],[ID]]=_solution_</f>
        <v>1</v>
      </c>
      <c r="P11" t="b" cm="1">
        <f t="array" ref="P11:P16">_xlfn.ANCHORARRAY(P3)=_solution_</f>
        <v>1</v>
      </c>
    </row>
    <row r="12" spans="1:16" x14ac:dyDescent="0.3">
      <c r="A12" s="1"/>
      <c r="K12" t="b">
        <v>1</v>
      </c>
      <c r="N12" t="b">
        <v>1</v>
      </c>
      <c r="P12" t="b">
        <v>1</v>
      </c>
    </row>
    <row r="13" spans="1:16" x14ac:dyDescent="0.3">
      <c r="A13" s="1"/>
      <c r="K13" t="b">
        <v>1</v>
      </c>
      <c r="N13" t="b">
        <v>1</v>
      </c>
      <c r="P13" t="b">
        <v>1</v>
      </c>
    </row>
    <row r="14" spans="1:16" x14ac:dyDescent="0.3">
      <c r="K14" t="b">
        <v>1</v>
      </c>
      <c r="N14" t="b">
        <v>1</v>
      </c>
      <c r="P14" t="b">
        <v>1</v>
      </c>
    </row>
    <row r="15" spans="1:16" x14ac:dyDescent="0.3">
      <c r="K15" t="b">
        <v>1</v>
      </c>
      <c r="N15" t="b">
        <v>1</v>
      </c>
      <c r="P15" t="b">
        <v>1</v>
      </c>
    </row>
    <row r="16" spans="1:16" x14ac:dyDescent="0.3">
      <c r="B16"/>
      <c r="K16" t="b">
        <v>1</v>
      </c>
      <c r="N16" t="b">
        <v>1</v>
      </c>
      <c r="P16" t="b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customWidth="1"/>
  </cols>
  <sheetData>
    <row r="1" spans="1:2" ht="22.5" x14ac:dyDescent="0.3">
      <c r="A1" s="8" t="s">
        <v>6</v>
      </c>
      <c r="B1" s="2"/>
    </row>
    <row r="2" spans="1:2" ht="37.5" x14ac:dyDescent="0.3">
      <c r="A2" s="6" t="s">
        <v>16</v>
      </c>
      <c r="B2" s="2"/>
    </row>
    <row r="3" spans="1:2" ht="20.25" x14ac:dyDescent="0.3">
      <c r="A3" s="6" t="s">
        <v>9</v>
      </c>
      <c r="B3" s="10" t="s">
        <v>5</v>
      </c>
    </row>
    <row r="4" spans="1:2" ht="37.5" x14ac:dyDescent="0.3">
      <c r="A4" s="5" t="s">
        <v>10</v>
      </c>
      <c r="B4" s="2"/>
    </row>
    <row r="5" spans="1:2" ht="18.75" x14ac:dyDescent="0.3">
      <c r="A5" s="5" t="s">
        <v>11</v>
      </c>
      <c r="B5" s="2"/>
    </row>
    <row r="6" spans="1:2" ht="37.5" x14ac:dyDescent="0.3">
      <c r="A6" s="5" t="s">
        <v>12</v>
      </c>
      <c r="B6" s="2"/>
    </row>
    <row r="7" spans="1:2" ht="22.5" x14ac:dyDescent="0.3">
      <c r="A7" s="8" t="s">
        <v>0</v>
      </c>
      <c r="B7" s="2"/>
    </row>
    <row r="8" spans="1:2" ht="18.75" x14ac:dyDescent="0.3">
      <c r="A8" s="5" t="s">
        <v>1</v>
      </c>
      <c r="B8" s="2"/>
    </row>
    <row r="9" spans="1:2" ht="18.75" x14ac:dyDescent="0.3">
      <c r="A9" s="7" t="s">
        <v>13</v>
      </c>
      <c r="B9" s="2"/>
    </row>
    <row r="10" spans="1:2" ht="18.75" x14ac:dyDescent="0.3">
      <c r="A10" s="7" t="s">
        <v>7</v>
      </c>
      <c r="B10" s="2"/>
    </row>
    <row r="11" spans="1:2" ht="22.5" x14ac:dyDescent="0.3">
      <c r="A11" s="8" t="s">
        <v>2</v>
      </c>
      <c r="B11" s="2"/>
    </row>
    <row r="12" spans="1:2" ht="37.5" x14ac:dyDescent="0.3">
      <c r="A12" s="5" t="s">
        <v>14</v>
      </c>
      <c r="B12" s="2"/>
    </row>
    <row r="13" spans="1:2" ht="18.75" x14ac:dyDescent="0.3">
      <c r="A13" s="7" t="s">
        <v>8</v>
      </c>
      <c r="B13" s="9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7" t="s">
        <v>15</v>
      </c>
      <c r="B14" s="2"/>
    </row>
    <row r="15" spans="1:2" ht="22.5" x14ac:dyDescent="0.3">
      <c r="A15" s="8" t="s">
        <v>3</v>
      </c>
      <c r="B15" s="2"/>
    </row>
    <row r="16" spans="1:2" ht="37.5" x14ac:dyDescent="0.3">
      <c r="A16" s="5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566169-9F53-4585-B907-DD49A98FB2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374</vt:lpstr>
      <vt:lpstr>README</vt:lpstr>
      <vt:lpstr>_solution_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2026-02-28T14:38:14Z</dcterms:modified>
</cp:coreProperties>
</file>