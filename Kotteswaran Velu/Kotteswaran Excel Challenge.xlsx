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3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773" documentId="11_A0723F16CB3209605FEDAC6B6E4EF418BA607F85" xr6:coauthVersionLast="47" xr6:coauthVersionMax="47" xr10:uidLastSave="{7B20281B-90FB-4531-8D7C-BCBD2C6CBE54}"/>
  <bookViews>
    <workbookView xWindow="-120" yWindow="-120" windowWidth="51840" windowHeight="21120" xr2:uid="{00000000-000D-0000-FFFF-FFFF00000000}"/>
  </bookViews>
  <sheets>
    <sheet name="Day111" sheetId="69" r:id="rId1"/>
    <sheet name="Day110" sheetId="70" r:id="rId2"/>
    <sheet name="Day109" sheetId="71" r:id="rId3"/>
    <sheet name="Day108" sheetId="72" r:id="rId4"/>
    <sheet name="Day107" sheetId="73" r:id="rId5"/>
    <sheet name="Day106" sheetId="68" r:id="rId6"/>
    <sheet name="Day105" sheetId="67" r:id="rId7"/>
    <sheet name="Day104" sheetId="66" r:id="rId8"/>
    <sheet name="Day103" sheetId="65" r:id="rId9"/>
    <sheet name="Day102" sheetId="64" r:id="rId10"/>
    <sheet name="Day101" sheetId="63" r:id="rId11"/>
    <sheet name="Day100" sheetId="62" r:id="rId12"/>
    <sheet name="Day99" sheetId="61" r:id="rId13"/>
    <sheet name="Day98" sheetId="60" r:id="rId14"/>
    <sheet name="Day97" sheetId="59" r:id="rId15"/>
    <sheet name="Day96" sheetId="58" r:id="rId16"/>
    <sheet name="Day95" sheetId="57" r:id="rId17"/>
    <sheet name="Day94" sheetId="56" r:id="rId18"/>
    <sheet name="Day93" sheetId="55" r:id="rId19"/>
    <sheet name="Day92" sheetId="54" r:id="rId20"/>
    <sheet name="Day91" sheetId="53" r:id="rId21"/>
    <sheet name="Day90" sheetId="52" r:id="rId22"/>
    <sheet name="Day89" sheetId="51" r:id="rId23"/>
    <sheet name="Day88" sheetId="50" r:id="rId24"/>
    <sheet name="Day87" sheetId="49" r:id="rId25"/>
    <sheet name="Day86" sheetId="40" r:id="rId26"/>
    <sheet name="Day85" sheetId="41" r:id="rId27"/>
    <sheet name="Day84" sheetId="42" r:id="rId28"/>
    <sheet name="Day83" sheetId="43" r:id="rId29"/>
    <sheet name="Day82" sheetId="44" r:id="rId30"/>
    <sheet name="Day81" sheetId="45" r:id="rId31"/>
    <sheet name="Day80" sheetId="46" r:id="rId32"/>
    <sheet name="Day79" sheetId="47" r:id="rId33"/>
    <sheet name="Day78" sheetId="48" r:id="rId34"/>
    <sheet name="Day77" sheetId="39" r:id="rId35"/>
    <sheet name="Day76" sheetId="38" r:id="rId36"/>
    <sheet name="Day75" sheetId="37" r:id="rId37"/>
    <sheet name="Day74" sheetId="36" r:id="rId38"/>
    <sheet name="Day73" sheetId="1" r:id="rId39"/>
    <sheet name="Day72" sheetId="2" r:id="rId40"/>
    <sheet name="Day71" sheetId="3" r:id="rId41"/>
    <sheet name="Day70" sheetId="4" r:id="rId42"/>
    <sheet name="Day69" sheetId="5" r:id="rId43"/>
    <sheet name="Day68" sheetId="6" r:id="rId44"/>
    <sheet name="Day67" sheetId="7" r:id="rId45"/>
    <sheet name="Day66" sheetId="8" r:id="rId46"/>
    <sheet name="Day65" sheetId="9" r:id="rId47"/>
    <sheet name="Day64" sheetId="10" r:id="rId48"/>
    <sheet name="Day63" sheetId="11" r:id="rId49"/>
    <sheet name="Day62" sheetId="12" r:id="rId50"/>
    <sheet name="Day61" sheetId="13" r:id="rId51"/>
    <sheet name="Day60" sheetId="14" r:id="rId52"/>
    <sheet name="Day59" sheetId="15" r:id="rId53"/>
    <sheet name="Day58" sheetId="16" r:id="rId54"/>
    <sheet name="Day57" sheetId="17" r:id="rId55"/>
    <sheet name="Day56" sheetId="18" r:id="rId56"/>
    <sheet name="Day55" sheetId="19" r:id="rId57"/>
    <sheet name="Sheet18" sheetId="20" r:id="rId58"/>
    <sheet name="Day54" sheetId="21" r:id="rId59"/>
    <sheet name="Day53" sheetId="22" r:id="rId60"/>
    <sheet name="Day52" sheetId="23" r:id="rId61"/>
    <sheet name="Day51" sheetId="24" r:id="rId62"/>
    <sheet name="Day50" sheetId="25" r:id="rId63"/>
    <sheet name="Day49" sheetId="26" r:id="rId64"/>
    <sheet name="Day48" sheetId="27" r:id="rId65"/>
    <sheet name="Day47" sheetId="28" r:id="rId66"/>
    <sheet name="Day46" sheetId="29" r:id="rId67"/>
    <sheet name="Day45" sheetId="30" r:id="rId68"/>
    <sheet name="Day44" sheetId="31" r:id="rId69"/>
    <sheet name="Day43" sheetId="32" r:id="rId70"/>
    <sheet name="Day42" sheetId="33" r:id="rId71"/>
    <sheet name="Day41" sheetId="34" r:id="rId72"/>
    <sheet name="Day40" sheetId="35" r:id="rId73"/>
  </sheets>
  <definedNames>
    <definedName name="_xlnm._FilterDatabase" localSheetId="6" hidden="1">'Day105'!$A$1:$D$4</definedName>
    <definedName name="_xlnm._FilterDatabase" localSheetId="5" hidden="1">'Day106'!$A$1:$B$5</definedName>
    <definedName name="_xlnm._FilterDatabase" localSheetId="4" hidden="1">'Day107'!$A$1:$B$15</definedName>
    <definedName name="_xlnm._FilterDatabase" localSheetId="3" hidden="1">'Day108'!$A$1:$B$15</definedName>
    <definedName name="ExternalData_1" localSheetId="6" hidden="1">'Day105'!$F$8:$H$11</definedName>
    <definedName name="ExternalData_1" localSheetId="5" hidden="1">'Day106'!$H$2:$H$6</definedName>
    <definedName name="ExternalData_1" localSheetId="26" hidden="1">'Day85'!$B$17:$G$23</definedName>
    <definedName name="rngStart">'Day85'!$A$1:$L$4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69" l="1" a="1"/>
  <c r="D9" i="70" a="1"/>
  <c r="D9" i="70" s="1"/>
  <c r="D10" i="71" a="1"/>
  <c r="D12" i="72" a="1"/>
  <c r="I2" i="73" a="1"/>
  <c r="I2" i="73" s="1"/>
  <c r="N2" i="68" a="1"/>
  <c r="N2" i="68" s="1"/>
  <c r="L2" i="68" a="1"/>
  <c r="L2" i="68" s="1"/>
  <c r="J2" i="68" a="1"/>
  <c r="J2" i="68" s="1"/>
  <c r="D2" i="68" a="1"/>
  <c r="F15" i="67" a="1"/>
  <c r="F15" i="67" s="1"/>
  <c r="B8" i="67" a="1"/>
  <c r="D2" i="66" a="1"/>
  <c r="A12" i="65" a="1"/>
  <c r="A16" i="63" a="1"/>
  <c r="A16" i="63" s="1"/>
  <c r="A13" i="64" a="1"/>
  <c r="A14" i="62" a="1"/>
  <c r="A12" i="61" a="1"/>
  <c r="I1" i="60" a="1"/>
  <c r="A12" i="59" a="1"/>
  <c r="K1" i="58" a="1"/>
  <c r="K1" i="58" s="1"/>
  <c r="J1" i="57" a="1"/>
  <c r="J1" i="57" s="1"/>
  <c r="H2" i="56" a="1"/>
  <c r="K2" i="55" a="1"/>
  <c r="A10" i="54" a="1"/>
  <c r="A10" i="54" s="1"/>
  <c r="N2" i="53" a="1"/>
  <c r="I1" i="52" a="1"/>
  <c r="O1" i="51" a="1"/>
  <c r="O1" i="51" s="1"/>
  <c r="J1" i="50" a="1"/>
  <c r="E2" i="49" a="1"/>
  <c r="D2" i="40" a="1"/>
  <c r="B25" i="41" a="1"/>
  <c r="B25" i="41" s="1"/>
  <c r="E2" i="42" a="1"/>
  <c r="E2" i="42" s="1"/>
  <c r="D2" i="43" a="1"/>
  <c r="E2" i="44" a="1"/>
  <c r="M2" i="45" a="1"/>
  <c r="M2" i="45" s="1"/>
  <c r="N22" i="45" a="1"/>
  <c r="N22" i="45" s="1"/>
  <c r="F2" i="46" a="1"/>
  <c r="G2" i="47" a="1"/>
  <c r="G2" i="47" s="1"/>
  <c r="D2" i="47" a="1"/>
  <c r="D2" i="47" s="1"/>
  <c r="D2" i="48" a="1"/>
  <c r="E1" i="39" a="1"/>
  <c r="D1" i="38" a="1"/>
  <c r="E1" i="37" a="1"/>
  <c r="E1" i="37" s="1"/>
  <c r="E1" i="36" a="1"/>
  <c r="E1" i="36" s="1"/>
  <c r="E2" i="5" a="1"/>
  <c r="E2" i="5" s="1"/>
  <c r="D2" i="4" a="1"/>
  <c r="D2" i="4" s="1"/>
  <c r="D2" i="3" a="1"/>
  <c r="D2" i="3" s="1"/>
  <c r="D2" i="2" a="1"/>
  <c r="E1" i="1" a="1"/>
  <c r="D14" i="69" l="1"/>
  <c r="F14" i="69" a="1"/>
  <c r="F14" i="69" s="1"/>
  <c r="D10" i="71"/>
  <c r="E10" i="71" a="1"/>
  <c r="E10" i="71" s="1"/>
  <c r="D12" i="72"/>
  <c r="F12" i="72" a="1"/>
  <c r="F12" i="72" s="1"/>
  <c r="K2" i="73" a="1"/>
  <c r="K2" i="73" s="1"/>
  <c r="D2" i="68"/>
  <c r="F2" i="68" a="1"/>
  <c r="F2" i="68" s="1"/>
  <c r="B8" i="67"/>
  <c r="B15" i="67" a="1"/>
  <c r="B15" i="67" s="1"/>
  <c r="D2" i="66"/>
  <c r="F2" i="66" a="1"/>
  <c r="F2" i="66" s="1"/>
  <c r="A12" i="65"/>
  <c r="B12" i="65" a="1"/>
  <c r="B12" i="65" s="1"/>
  <c r="A13" i="64"/>
  <c r="B13" i="64" a="1"/>
  <c r="B13" i="64" s="1"/>
  <c r="B16" i="63" a="1"/>
  <c r="B16" i="63" s="1"/>
  <c r="A14" i="62"/>
  <c r="B14" i="62" a="1"/>
  <c r="B14" i="62" s="1"/>
  <c r="A12" i="61"/>
  <c r="B12" i="61" s="1" a="1"/>
  <c r="B12" i="61" s="1"/>
  <c r="I1" i="60"/>
  <c r="M1" i="60" a="1"/>
  <c r="M1" i="60" s="1"/>
  <c r="B12" i="59" a="1"/>
  <c r="B12" i="59" s="1"/>
  <c r="A12" i="59"/>
  <c r="K1" i="57" a="1"/>
  <c r="H2" i="56"/>
  <c r="J2" i="56" a="1"/>
  <c r="J2" i="56" s="1"/>
  <c r="K2" i="55"/>
  <c r="M2" i="55" a="1"/>
  <c r="M2" i="55" s="1"/>
  <c r="N2" i="53"/>
  <c r="N3" i="53" a="1"/>
  <c r="N3" i="53" s="1"/>
  <c r="I1" i="52"/>
  <c r="L1" i="52" a="1"/>
  <c r="L1" i="52" s="1"/>
  <c r="O7" i="51" a="1"/>
  <c r="O7" i="51" s="1"/>
  <c r="J1" i="50"/>
  <c r="N1" i="50" a="1"/>
  <c r="N1" i="50" s="1"/>
  <c r="E2" i="49"/>
  <c r="G2" i="49" a="1"/>
  <c r="G2" i="49" s="1"/>
  <c r="D2" i="40"/>
  <c r="G2" i="40" a="1"/>
  <c r="G2" i="40" s="1"/>
  <c r="D2" i="43"/>
  <c r="G2" i="43" a="1"/>
  <c r="G2" i="43" s="1"/>
  <c r="E2" i="44"/>
  <c r="G2" i="44" a="1"/>
  <c r="G2" i="44" s="1"/>
  <c r="O2" i="45" a="1"/>
  <c r="O2" i="45" s="1"/>
  <c r="F2" i="46"/>
  <c r="H2" i="46" a="1"/>
  <c r="H2" i="46" s="1"/>
  <c r="D2" i="48"/>
  <c r="F2" i="48" a="1"/>
  <c r="F2" i="48" s="1"/>
  <c r="E1" i="39"/>
  <c r="H1" i="39" a="1"/>
  <c r="H1" i="39" s="1"/>
  <c r="D1" i="38"/>
  <c r="F1" i="38" a="1"/>
  <c r="F1" i="38" s="1"/>
  <c r="H1" i="37" a="1"/>
  <c r="H1" i="37" s="1"/>
  <c r="H1" i="36" a="1"/>
  <c r="H1" i="36" s="1"/>
  <c r="F2" i="3" a="1"/>
  <c r="F2" i="3" s="1"/>
  <c r="D2" i="2"/>
  <c r="F2" i="2" a="1"/>
  <c r="F2" i="2" s="1"/>
  <c r="E1" i="1"/>
  <c r="H1" i="1" a="1"/>
  <c r="H1" i="1" s="1"/>
  <c r="K1" i="5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821D8C-AB5A-4B01-8523-039CFB7E1DAD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  <connection id="2" xr16:uid="{06C09B24-5DF5-4932-9040-3539DAD28AB3}" keepAlive="1" name="Zapytanie — tblSolution105" description="Połączenie z zapytaniem „tblSolution105” w skoroszycie." type="5" refreshedVersion="8" background="1" saveData="1">
    <dbPr connection="Provider=Microsoft.Mashup.OleDb.1;Data Source=$Workbook$;Location=tblSolution105;Extended Properties=&quot;&quot;" command="SELECT * FROM [tblSolution105]"/>
  </connection>
  <connection id="3" xr16:uid="{9B00670A-7026-4D17-9A53-0F9C02A12476}" keepAlive="1" name="Zapytanie — tblSolution106" description="Połączenie z zapytaniem „tblSolution106” w skoroszycie." type="5" refreshedVersion="8" background="1" saveData="1">
    <dbPr connection="Provider=Microsoft.Mashup.OleDb.1;Data Source=$Workbook$;Location=tblSolution106;Extended Properties=&quot;&quot;" command="SELECT * FROM [tblSolution106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df = xl(%P2%, headers=True)
df["Text"] = df["Text"].apply(
    lambda x: ''.join([o + o for o in x]))
df = df.rename(columns = {"Text": "Output"})
df</code>
    </pythonScript>
  </pythonScripts>
</python>
</file>

<file path=xl/sharedStrings.xml><?xml version="1.0" encoding="utf-8"?>
<sst xmlns="http://schemas.openxmlformats.org/spreadsheetml/2006/main" count="1154" uniqueCount="717">
  <si>
    <t>Sentence</t>
  </si>
  <si>
    <t>Vowels</t>
  </si>
  <si>
    <t>Excel makes learning fun</t>
  </si>
  <si>
    <t>Power Query is amazing</t>
  </si>
  <si>
    <t>Data is powerful</t>
  </si>
  <si>
    <t>The quick brown fox jumps over the lazy dog</t>
  </si>
  <si>
    <t>Expected Output</t>
  </si>
  <si>
    <t>fun learning makes Excel</t>
  </si>
  <si>
    <t>amazing is Query Power</t>
  </si>
  <si>
    <t>Data cleaning is important</t>
  </si>
  <si>
    <t>important is cleaning Data</t>
  </si>
  <si>
    <t>Practice makes you perfect</t>
  </si>
  <si>
    <t>perfect you makes Practice</t>
  </si>
  <si>
    <t>it’s a pangram</t>
  </si>
  <si>
    <t>Pack my box with five dozen liquor jugs</t>
  </si>
  <si>
    <t>Sphinx of black quartz, judge my vow</t>
  </si>
  <si>
    <t>Excel makes life easy</t>
  </si>
  <si>
    <t>bdghjnopqrtuvwz</t>
  </si>
  <si>
    <t>bcghjkmnqvxyz</t>
  </si>
  <si>
    <t>OpenAI builds AI models</t>
  </si>
  <si>
    <t>cfghjkqrtvwxyz</t>
  </si>
  <si>
    <t>Hello World</t>
  </si>
  <si>
    <t>abcfgijkmnpqstuvxyz</t>
  </si>
  <si>
    <t>Keep practicing Excel</t>
  </si>
  <si>
    <t>bdfhjmoqsuvwyz</t>
  </si>
  <si>
    <t>Word 1</t>
  </si>
  <si>
    <t>Word 2</t>
  </si>
  <si>
    <t>Output</t>
  </si>
  <si>
    <t>LISTEN</t>
  </si>
  <si>
    <t>SILENT</t>
  </si>
  <si>
    <t>EXCEL</t>
  </si>
  <si>
    <t>CELLS</t>
  </si>
  <si>
    <t>DATA</t>
  </si>
  <si>
    <t>DATE</t>
  </si>
  <si>
    <t>STATE</t>
  </si>
  <si>
    <t>TASTE</t>
  </si>
  <si>
    <t>EARTH</t>
  </si>
  <si>
    <t>HEART</t>
  </si>
  <si>
    <t>SCHOOL</t>
  </si>
  <si>
    <t>CHOOLS</t>
  </si>
  <si>
    <t>POWER</t>
  </si>
  <si>
    <t>PROVE</t>
  </si>
  <si>
    <t>Order Date</t>
  </si>
  <si>
    <t>Output :
 Next working day</t>
  </si>
  <si>
    <t>Holiday Date</t>
  </si>
  <si>
    <t>Holiday Name</t>
  </si>
  <si>
    <t>New Year’s Day</t>
  </si>
  <si>
    <t>Valentine’s Day</t>
  </si>
  <si>
    <t>Labour Day / May Day</t>
  </si>
  <si>
    <t>Diwali</t>
  </si>
  <si>
    <t>Christmas Day</t>
  </si>
  <si>
    <t>New Year’s Eve</t>
  </si>
  <si>
    <t>Day</t>
  </si>
  <si>
    <t>Sales</t>
  </si>
  <si>
    <t>Longest Streak</t>
  </si>
  <si>
    <t>Ranges</t>
  </si>
  <si>
    <t>1-2 days, 4 day, 6-7 days</t>
  </si>
  <si>
    <t>Input</t>
  </si>
  <si>
    <t>Word</t>
  </si>
  <si>
    <t>Count</t>
  </si>
  <si>
    <t>Excel is fun and Excel is powerful</t>
  </si>
  <si>
    <t>Excel</t>
  </si>
  <si>
    <t>Excel challenge makes learning fun</t>
  </si>
  <si>
    <t>is</t>
  </si>
  <si>
    <t>fun</t>
  </si>
  <si>
    <t>Date</t>
  </si>
  <si>
    <t>Customer</t>
  </si>
  <si>
    <t>Product</t>
  </si>
  <si>
    <t>Products Bought</t>
  </si>
  <si>
    <t>A</t>
  </si>
  <si>
    <t>Apple</t>
  </si>
  <si>
    <t>Apple, Banana</t>
  </si>
  <si>
    <t>Banana</t>
  </si>
  <si>
    <t>B</t>
  </si>
  <si>
    <t>Orange</t>
  </si>
  <si>
    <t>Mango</t>
  </si>
  <si>
    <t>Apple, Grape</t>
  </si>
  <si>
    <t>Grape</t>
  </si>
  <si>
    <t>Input1</t>
  </si>
  <si>
    <t>Input2</t>
  </si>
  <si>
    <t>Input3</t>
  </si>
  <si>
    <t>Input4</t>
  </si>
  <si>
    <t>Input5</t>
  </si>
  <si>
    <t>Input6</t>
  </si>
  <si>
    <t>-3, 0, 7</t>
  </si>
  <si>
    <t>-1, 4, 20</t>
  </si>
  <si>
    <t>-2, 0, 3</t>
  </si>
  <si>
    <t>Region</t>
  </si>
  <si>
    <t>Month</t>
  </si>
  <si>
    <t>Jan Sales</t>
  </si>
  <si>
    <t>Feb Sales</t>
  </si>
  <si>
    <t>Mar Sales</t>
  </si>
  <si>
    <t>North</t>
  </si>
  <si>
    <t>Jan</t>
  </si>
  <si>
    <t>Feb</t>
  </si>
  <si>
    <t>South</t>
  </si>
  <si>
    <t>Mar</t>
  </si>
  <si>
    <t>East</t>
  </si>
  <si>
    <t>Excel Clock</t>
  </si>
  <si>
    <t>Hours</t>
  </si>
  <si>
    <t>Minutes</t>
  </si>
  <si>
    <t>If only this color then hour and minute is same
 For Ex: 10:50, 11:55,12:00,01:05,</t>
  </si>
  <si>
    <t>red blue green red yellow</t>
  </si>
  <si>
    <t>blue</t>
  </si>
  <si>
    <t>apple banana apple orange banana mango</t>
  </si>
  <si>
    <t>orange</t>
  </si>
  <si>
    <t>Excel Excel Power Query DAX Excel</t>
  </si>
  <si>
    <t>Power</t>
  </si>
  <si>
    <t>cat dog cat dog lion tiger lion</t>
  </si>
  <si>
    <t>tiger</t>
  </si>
  <si>
    <t>Project Alpha 2017</t>
  </si>
  <si>
    <t>Sales 2012-2015 Report</t>
  </si>
  <si>
    <t>2012, 2013, 2014, 2015</t>
  </si>
  <si>
    <t>Training 1998, 2000, 2001</t>
  </si>
  <si>
    <t>1998, 2000, 2001</t>
  </si>
  <si>
    <t>Product Launch 1889, 1900, 1905</t>
  </si>
  <si>
    <t>1900, 1905</t>
  </si>
  <si>
    <t>Meeting Notes 2005 &amp; 2007</t>
  </si>
  <si>
    <t>2005, 2007</t>
  </si>
  <si>
    <t>Invoice 2010-2012, 2015</t>
  </si>
  <si>
    <t>2010, 2011, 2012, 2015</t>
  </si>
  <si>
    <t>Event 1985-1988, 1990, 2000</t>
  </si>
  <si>
    <t>1985, 1986, 1987, 1988, 1990, 2000</t>
  </si>
  <si>
    <t>Value</t>
  </si>
  <si>
    <t>C</t>
  </si>
  <si>
    <t>D</t>
  </si>
  <si>
    <t>E</t>
  </si>
  <si>
    <t>N</t>
  </si>
  <si>
    <t>Expected Result</t>
  </si>
  <si>
    <t>Order delayed by 5 days</t>
  </si>
  <si>
    <t>Customer requested urgent delivery</t>
  </si>
  <si>
    <t>requested</t>
  </si>
  <si>
    <t>Payment received successfully</t>
  </si>
  <si>
    <t>Payment</t>
  </si>
  <si>
    <t>Shipment arrived on time</t>
  </si>
  <si>
    <t>time</t>
  </si>
  <si>
    <t>Salesperson</t>
  </si>
  <si>
    <t>Position</t>
  </si>
  <si>
    <t>Unique Position</t>
  </si>
  <si>
    <t>P1</t>
  </si>
  <si>
    <t>P2</t>
  </si>
  <si>
    <t>P3</t>
  </si>
  <si>
    <t>P4</t>
  </si>
  <si>
    <t>P5</t>
  </si>
  <si>
    <t>P6</t>
  </si>
  <si>
    <t>P7</t>
  </si>
  <si>
    <t>P8</t>
  </si>
  <si>
    <t>Running Total</t>
  </si>
  <si>
    <t>Input Data</t>
  </si>
  <si>
    <t>Variable</t>
  </si>
  <si>
    <t>Value1</t>
  </si>
  <si>
    <t>Value2</t>
  </si>
  <si>
    <t>Value3</t>
  </si>
  <si>
    <t>P-20, Q-45</t>
  </si>
  <si>
    <t>P</t>
  </si>
  <si>
    <t>R-30, P-15, S-90</t>
  </si>
  <si>
    <t>Q</t>
  </si>
  <si>
    <t>Q-60, R-25</t>
  </si>
  <si>
    <t>R</t>
  </si>
  <si>
    <t>S-40, P-10, Q-35</t>
  </si>
  <si>
    <t>S</t>
  </si>
  <si>
    <t>R-50</t>
  </si>
  <si>
    <t>Settlement</t>
  </si>
  <si>
    <t>Maturity</t>
  </si>
  <si>
    <t>Frequency ( Semi Annual)</t>
  </si>
  <si>
    <t>Basis (Actual/Actual)</t>
  </si>
  <si>
    <t>Coupon period</t>
  </si>
  <si>
    <t>181 Days</t>
  </si>
  <si>
    <t>No. Of customers</t>
  </si>
  <si>
    <t>Mean satisfaction score</t>
  </si>
  <si>
    <t>Standard deviation</t>
  </si>
  <si>
    <t>Confidence level</t>
  </si>
  <si>
    <t>Confidence Value</t>
  </si>
  <si>
    <t>Lower Interval</t>
  </si>
  <si>
    <t>Upper Interval</t>
  </si>
  <si>
    <t>Warehouse</t>
  </si>
  <si>
    <t>X (Longitude)</t>
  </si>
  <si>
    <t>Y (Latitude)</t>
  </si>
  <si>
    <t>Shortest Distance</t>
  </si>
  <si>
    <t>Numbers</t>
  </si>
  <si>
    <t>LCM</t>
  </si>
  <si>
    <t>No's</t>
  </si>
  <si>
    <t>Result</t>
  </si>
  <si>
    <t>n (Total Items)</t>
  </si>
  <si>
    <t>r (Chosen Items)</t>
  </si>
  <si>
    <t>Result (nPr)</t>
  </si>
  <si>
    <t>Rating (out of 5)</t>
  </si>
  <si>
    <t>No. of Customers</t>
  </si>
  <si>
    <t>Overall CSAT Score</t>
  </si>
  <si>
    <t>Price (USD)</t>
  </si>
  <si>
    <t>INR</t>
  </si>
  <si>
    <t>JPY</t>
  </si>
  <si>
    <t>GBP</t>
  </si>
  <si>
    <t>EUR</t>
  </si>
  <si>
    <t>Currency</t>
  </si>
  <si>
    <t>Rate (per USD)</t>
  </si>
  <si>
    <t>Laptop</t>
  </si>
  <si>
    <t>Mobile</t>
  </si>
  <si>
    <t>Tablet</t>
  </si>
  <si>
    <t>Camera</t>
  </si>
  <si>
    <t>Loan Amount</t>
  </si>
  <si>
    <t>Annual Interest Rate (%)</t>
  </si>
  <si>
    <t>Loan Tenure (Years)</t>
  </si>
  <si>
    <t>Monthly EMI</t>
  </si>
  <si>
    <t>Total Interest</t>
  </si>
  <si>
    <t>John Smith</t>
  </si>
  <si>
    <t>$6,199.28</t>
  </si>
  <si>
    <t>$243,914.13</t>
  </si>
  <si>
    <t>Priya Kumar</t>
  </si>
  <si>
    <t>$5,189.59</t>
  </si>
  <si>
    <t>$61,375.33</t>
  </si>
  <si>
    <t>Ahmed Khan</t>
  </si>
  <si>
    <t>$9,270.12</t>
  </si>
  <si>
    <t>$668,622.25</t>
  </si>
  <si>
    <t>Mei Ling</t>
  </si>
  <si>
    <t>$10,602.51</t>
  </si>
  <si>
    <t>$267,840.91</t>
  </si>
  <si>
    <t>Total Sales</t>
  </si>
  <si>
    <t>Commission</t>
  </si>
  <si>
    <t>Ticket ID</t>
  </si>
  <si>
    <t>Customer Name</t>
  </si>
  <si>
    <t>Contact Date &amp; Time</t>
  </si>
  <si>
    <t>Resolution Date &amp; Time</t>
  </si>
  <si>
    <t>Interaction Count</t>
  </si>
  <si>
    <t>FCR Status</t>
  </si>
  <si>
    <t>FCR Achieved</t>
  </si>
  <si>
    <t>Not Achieved</t>
  </si>
  <si>
    <t>Employee Name</t>
  </si>
  <si>
    <t>DOJ (Date of Joining)</t>
  </si>
  <si>
    <t>Rating</t>
  </si>
  <si>
    <t>Eligibility</t>
  </si>
  <si>
    <t>John</t>
  </si>
  <si>
    <t>Eligible</t>
  </si>
  <si>
    <t>Raj</t>
  </si>
  <si>
    <t>Not Eligible</t>
  </si>
  <si>
    <t>Michael</t>
  </si>
  <si>
    <t>Karthik</t>
  </si>
  <si>
    <t>William</t>
  </si>
  <si>
    <t>Alpha Ltd</t>
  </si>
  <si>
    <t>Echo Pvt Ltd</t>
  </si>
  <si>
    <t>Beta Corp</t>
  </si>
  <si>
    <t>Gamma Co</t>
  </si>
  <si>
    <t>Delta Inc</t>
  </si>
  <si>
    <t>Consonants</t>
  </si>
  <si>
    <t>Sorted (A→Z)</t>
  </si>
  <si>
    <t>Sorted (Z→A)</t>
  </si>
  <si>
    <t>Excel fun learning makes</t>
  </si>
  <si>
    <t>makes learning fun Excel</t>
  </si>
  <si>
    <t>amazing is Power Query</t>
  </si>
  <si>
    <t>Query Power is amazing</t>
  </si>
  <si>
    <t>Data analysis is powerful</t>
  </si>
  <si>
    <t>analysis Data is powerful</t>
  </si>
  <si>
    <t>powerful is Data analysis</t>
  </si>
  <si>
    <t>Excel solves complex problems</t>
  </si>
  <si>
    <t>complex Excel problems solves</t>
  </si>
  <si>
    <t>solves problems Excel complex</t>
  </si>
  <si>
    <t>Short → Long</t>
  </si>
  <si>
    <t>Long → Short</t>
  </si>
  <si>
    <t>fun Excel makes learning</t>
  </si>
  <si>
    <t>learning makes Excel fun</t>
  </si>
  <si>
    <t>is Power Query amazing</t>
  </si>
  <si>
    <t>amazing Query Power is</t>
  </si>
  <si>
    <t>Data is power</t>
  </si>
  <si>
    <t>is Data power</t>
  </si>
  <si>
    <t>power Data is</t>
  </si>
  <si>
    <t>you makes perfect Practice</t>
  </si>
  <si>
    <t>Practice perfect makes you</t>
  </si>
  <si>
    <t>Swapped</t>
  </si>
  <si>
    <t>fun makes learning Excel</t>
  </si>
  <si>
    <t>amazing Query is Power</t>
  </si>
  <si>
    <t>power is Data</t>
  </si>
  <si>
    <t>perfect makes you Practice</t>
  </si>
  <si>
    <t>Hello</t>
  </si>
  <si>
    <t>Practice makes</t>
  </si>
  <si>
    <t>makes Practice</t>
  </si>
  <si>
    <t>Odd words (1,3,5,…)</t>
  </si>
  <si>
    <t>Even words (2,4,6,…)</t>
  </si>
  <si>
    <t>Excel learning</t>
  </si>
  <si>
    <t>makes fun</t>
  </si>
  <si>
    <t>Power is</t>
  </si>
  <si>
    <t>Query amazing</t>
  </si>
  <si>
    <t>Data is truly very powerful</t>
  </si>
  <si>
    <t>Data truly powerful</t>
  </si>
  <si>
    <t>is very</t>
  </si>
  <si>
    <t>Practice makes you perfect daily</t>
  </si>
  <si>
    <t>Practice you daily</t>
  </si>
  <si>
    <t>makes perfect</t>
  </si>
  <si>
    <t>Excel is Fun</t>
  </si>
  <si>
    <t>lecxE si nuF</t>
  </si>
  <si>
    <t>Power Query Rocks</t>
  </si>
  <si>
    <t>rewoP yreuQ skcoR</t>
  </si>
  <si>
    <t>Data Drives Decisions</t>
  </si>
  <si>
    <t>ataD sevirD snoisiceD</t>
  </si>
  <si>
    <t>Learn Excel Daily</t>
  </si>
  <si>
    <t>nraeL lecxE yliaD</t>
  </si>
  <si>
    <t>The Formula Challenge</t>
  </si>
  <si>
    <t>ehT alumroF egnellahC</t>
  </si>
  <si>
    <t>Unit1-X</t>
  </si>
  <si>
    <t>Unit2-X</t>
  </si>
  <si>
    <t>Unit3-X</t>
  </si>
  <si>
    <t>Profit</t>
  </si>
  <si>
    <t>Unit1-Y</t>
  </si>
  <si>
    <t>Unit2-Y</t>
  </si>
  <si>
    <t>Unit3-Y</t>
  </si>
  <si>
    <t>Alpha</t>
  </si>
  <si>
    <t>Beta</t>
  </si>
  <si>
    <t>Gamma</t>
  </si>
  <si>
    <t>Variant</t>
  </si>
  <si>
    <t>Total Units</t>
  </si>
  <si>
    <t>X</t>
  </si>
  <si>
    <t>Y</t>
  </si>
  <si>
    <t>Letter</t>
  </si>
  <si>
    <t>Excel Formula Challenge Day 84</t>
  </si>
  <si>
    <t>a</t>
  </si>
  <si>
    <t>Formula, Challenge, Day</t>
  </si>
  <si>
    <t>Data Analytics in Action</t>
  </si>
  <si>
    <t>c</t>
  </si>
  <si>
    <t>Analytics, Action</t>
  </si>
  <si>
    <t>Excel Power BI Automation</t>
  </si>
  <si>
    <t>u</t>
  </si>
  <si>
    <t>Automation</t>
  </si>
  <si>
    <t>Always Aim for Amazing Accuracy</t>
  </si>
  <si>
    <t>Always, Aim, Amazing, Accuracy</t>
  </si>
  <si>
    <t>Formula Fun Never Fails</t>
  </si>
  <si>
    <t>f</t>
  </si>
  <si>
    <t>Formula, Fun, Fails</t>
  </si>
  <si>
    <t>Keep Learning and Practicing Daily</t>
  </si>
  <si>
    <t>e</t>
  </si>
  <si>
    <t>Keep, Learning</t>
  </si>
  <si>
    <t>Red Blue Green Red Yellow Blue</t>
  </si>
  <si>
    <t>Red, Blue, Green, Yellow</t>
  </si>
  <si>
    <t>Apple Banana Apple Orange Banana Mango</t>
  </si>
  <si>
    <t>Apple, Banana, Orange, Mango</t>
  </si>
  <si>
    <t>Sun Moon Star Sun Star Sky</t>
  </si>
  <si>
    <t>Sun, Moon, Star, Sky</t>
  </si>
  <si>
    <t>Excel Excel Power Query Power Automate Power BI</t>
  </si>
  <si>
    <t>Excel, Power, Query, Automate, BI</t>
  </si>
  <si>
    <t>Learn Excel Learn Excel Learn</t>
  </si>
  <si>
    <t>Learn, Excel</t>
  </si>
  <si>
    <t>Blue Blue Blue</t>
  </si>
  <si>
    <t>Blue</t>
  </si>
  <si>
    <t>Red Yellow Green Blue Red Yellow Green Blue</t>
  </si>
  <si>
    <t>Red, Yellow, Green, Blue</t>
  </si>
  <si>
    <t>Data Analysis Data Analytics Excel Data Power BI</t>
  </si>
  <si>
    <t>Data, Analysis, Analytics, Excel, Power, BI</t>
  </si>
  <si>
    <t>Cat Dog Cat Bird Dog Fish</t>
  </si>
  <si>
    <t>Cat, Dog, Bird, Fish</t>
  </si>
  <si>
    <t>List 1</t>
  </si>
  <si>
    <t>List 2</t>
  </si>
  <si>
    <t>A,B,C</t>
  </si>
  <si>
    <t>1,2,3</t>
  </si>
  <si>
    <t>A, 1, B, 2, C, 3</t>
  </si>
  <si>
    <t>X,Y</t>
  </si>
  <si>
    <t>5,6,7</t>
  </si>
  <si>
    <t>X, 5, Y, 6, 7</t>
  </si>
  <si>
    <t>Red,Green,Blue,Yellow</t>
  </si>
  <si>
    <t>10,20,30</t>
  </si>
  <si>
    <t>Red, 10, Green, 20, Blue, 30, Yellow</t>
  </si>
  <si>
    <t>Jan,Feb,Mar,Apr</t>
  </si>
  <si>
    <t>Q1,Q2</t>
  </si>
  <si>
    <t>Jan, Q1, Feb, Q2, Mar, Apr</t>
  </si>
  <si>
    <t>Col1</t>
  </si>
  <si>
    <t>Col2</t>
  </si>
  <si>
    <t>Col3</t>
  </si>
  <si>
    <t>Col4</t>
  </si>
  <si>
    <t>Sequence</t>
  </si>
  <si>
    <t>3,1,2,4</t>
  </si>
  <si>
    <t>30, 10, 20, 40</t>
  </si>
  <si>
    <t>2,3,1,4</t>
  </si>
  <si>
    <t>B, C, A, D</t>
  </si>
  <si>
    <t>4,3,2,1</t>
  </si>
  <si>
    <t>20, 15, 10, 5</t>
  </si>
  <si>
    <t>Z</t>
  </si>
  <si>
    <t>W</t>
  </si>
  <si>
    <t>1,3,4,2</t>
  </si>
  <si>
    <t>X, Z, W, Y</t>
  </si>
  <si>
    <t>2,4,1,3</t>
  </si>
  <si>
    <t>9, 11, 8, 10</t>
  </si>
  <si>
    <t>Red</t>
  </si>
  <si>
    <t>Green</t>
  </si>
  <si>
    <t>Yellow</t>
  </si>
  <si>
    <t>3,4,1,2</t>
  </si>
  <si>
    <t>Green, Yellow, Blue, Red</t>
  </si>
  <si>
    <t>West</t>
  </si>
  <si>
    <t>4,1,2,3</t>
  </si>
  <si>
    <t>South, East, West, North</t>
  </si>
  <si>
    <t>Cherry</t>
  </si>
  <si>
    <t>2,4,3,1</t>
  </si>
  <si>
    <t>Banana, Mango, Cherry, Apple</t>
  </si>
  <si>
    <t>1,2,4,3</t>
  </si>
  <si>
    <t>25, 50, 100, 75</t>
  </si>
  <si>
    <t>2,1,4,3</t>
  </si>
  <si>
    <t>Q, P, S, R</t>
  </si>
  <si>
    <t>Stop words</t>
  </si>
  <si>
    <t>EMLF</t>
  </si>
  <si>
    <t>Power Query for data analysis</t>
  </si>
  <si>
    <t>PQDA</t>
  </si>
  <si>
    <t>about</t>
  </si>
  <si>
    <t>The art of problem solving</t>
  </si>
  <si>
    <t>APS</t>
  </si>
  <si>
    <t>above</t>
  </si>
  <si>
    <t>Data and AI in action</t>
  </si>
  <si>
    <t>DAA</t>
  </si>
  <si>
    <t>after</t>
  </si>
  <si>
    <t>again</t>
  </si>
  <si>
    <t>against</t>
  </si>
  <si>
    <t>all</t>
  </si>
  <si>
    <t>am</t>
  </si>
  <si>
    <t>an</t>
  </si>
  <si>
    <t>and</t>
  </si>
  <si>
    <t>any</t>
  </si>
  <si>
    <t>are</t>
  </si>
  <si>
    <t>aren't</t>
  </si>
  <si>
    <t>as</t>
  </si>
  <si>
    <t>at</t>
  </si>
  <si>
    <t>be</t>
  </si>
  <si>
    <t>because</t>
  </si>
  <si>
    <t>been</t>
  </si>
  <si>
    <t>before</t>
  </si>
  <si>
    <t>being</t>
  </si>
  <si>
    <t>below</t>
  </si>
  <si>
    <t>between</t>
  </si>
  <si>
    <t>both</t>
  </si>
  <si>
    <t>but</t>
  </si>
  <si>
    <t>by</t>
  </si>
  <si>
    <t>can</t>
  </si>
  <si>
    <t>can't</t>
  </si>
  <si>
    <t>cannot</t>
  </si>
  <si>
    <t>could</t>
  </si>
  <si>
    <t>couldn't</t>
  </si>
  <si>
    <t>did</t>
  </si>
  <si>
    <t>didn't</t>
  </si>
  <si>
    <t>do</t>
  </si>
  <si>
    <t>does</t>
  </si>
  <si>
    <t>doesn't</t>
  </si>
  <si>
    <t>doing</t>
  </si>
  <si>
    <t>don't</t>
  </si>
  <si>
    <t>down</t>
  </si>
  <si>
    <t>during</t>
  </si>
  <si>
    <t>each</t>
  </si>
  <si>
    <t>few</t>
  </si>
  <si>
    <t>for</t>
  </si>
  <si>
    <t>from</t>
  </si>
  <si>
    <t>further</t>
  </si>
  <si>
    <t>had</t>
  </si>
  <si>
    <t>hadn't</t>
  </si>
  <si>
    <t>has</t>
  </si>
  <si>
    <t>hasn't</t>
  </si>
  <si>
    <t>have</t>
  </si>
  <si>
    <t>haven't</t>
  </si>
  <si>
    <t>having</t>
  </si>
  <si>
    <t>he</t>
  </si>
  <si>
    <t>he'd</t>
  </si>
  <si>
    <t>he'll</t>
  </si>
  <si>
    <t>he's</t>
  </si>
  <si>
    <t>her</t>
  </si>
  <si>
    <t>here</t>
  </si>
  <si>
    <t>here's</t>
  </si>
  <si>
    <t>hers</t>
  </si>
  <si>
    <t>herself</t>
  </si>
  <si>
    <t>him</t>
  </si>
  <si>
    <t>himself</t>
  </si>
  <si>
    <t>his</t>
  </si>
  <si>
    <t>how</t>
  </si>
  <si>
    <t>how's</t>
  </si>
  <si>
    <t>i</t>
  </si>
  <si>
    <t>i'd</t>
  </si>
  <si>
    <t>i'll</t>
  </si>
  <si>
    <t>i'm</t>
  </si>
  <si>
    <t>i've</t>
  </si>
  <si>
    <t>if</t>
  </si>
  <si>
    <t>in</t>
  </si>
  <si>
    <t>into</t>
  </si>
  <si>
    <t>isn't</t>
  </si>
  <si>
    <t>it</t>
  </si>
  <si>
    <t>it's</t>
  </si>
  <si>
    <t>its</t>
  </si>
  <si>
    <t>itself</t>
  </si>
  <si>
    <t>let's</t>
  </si>
  <si>
    <t>me</t>
  </si>
  <si>
    <t>more</t>
  </si>
  <si>
    <t>most</t>
  </si>
  <si>
    <t>mustn't</t>
  </si>
  <si>
    <t>my</t>
  </si>
  <si>
    <t>myself</t>
  </si>
  <si>
    <t>no</t>
  </si>
  <si>
    <t>nor</t>
  </si>
  <si>
    <t>not</t>
  </si>
  <si>
    <t>of</t>
  </si>
  <si>
    <t>off</t>
  </si>
  <si>
    <t>on</t>
  </si>
  <si>
    <t>once</t>
  </si>
  <si>
    <t>only</t>
  </si>
  <si>
    <t>or</t>
  </si>
  <si>
    <t>other</t>
  </si>
  <si>
    <t>ought</t>
  </si>
  <si>
    <t>our</t>
  </si>
  <si>
    <t>ours</t>
  </si>
  <si>
    <t>ourselves</t>
  </si>
  <si>
    <t>out</t>
  </si>
  <si>
    <t>over</t>
  </si>
  <si>
    <t>own</t>
  </si>
  <si>
    <t>same</t>
  </si>
  <si>
    <t>shan't</t>
  </si>
  <si>
    <t>she</t>
  </si>
  <si>
    <t>she'd</t>
  </si>
  <si>
    <t>she'll</t>
  </si>
  <si>
    <t>she's</t>
  </si>
  <si>
    <t>should</t>
  </si>
  <si>
    <t>shouldn't</t>
  </si>
  <si>
    <t>so</t>
  </si>
  <si>
    <t>some</t>
  </si>
  <si>
    <t>such</t>
  </si>
  <si>
    <t>than</t>
  </si>
  <si>
    <t>that</t>
  </si>
  <si>
    <t>that's</t>
  </si>
  <si>
    <t>the</t>
  </si>
  <si>
    <t>their</t>
  </si>
  <si>
    <t>theirs</t>
  </si>
  <si>
    <t>them</t>
  </si>
  <si>
    <t>themselves</t>
  </si>
  <si>
    <t>then</t>
  </si>
  <si>
    <t>there</t>
  </si>
  <si>
    <t>there's</t>
  </si>
  <si>
    <t>these</t>
  </si>
  <si>
    <t>they</t>
  </si>
  <si>
    <t>they'd</t>
  </si>
  <si>
    <t>they'll</t>
  </si>
  <si>
    <t>they're</t>
  </si>
  <si>
    <t>they've</t>
  </si>
  <si>
    <t>this</t>
  </si>
  <si>
    <t>those</t>
  </si>
  <si>
    <t>through</t>
  </si>
  <si>
    <t>to</t>
  </si>
  <si>
    <t>too</t>
  </si>
  <si>
    <t>under</t>
  </si>
  <si>
    <t>until</t>
  </si>
  <si>
    <t>up</t>
  </si>
  <si>
    <t>very</t>
  </si>
  <si>
    <t>was</t>
  </si>
  <si>
    <t>wasn't</t>
  </si>
  <si>
    <t>we</t>
  </si>
  <si>
    <t>we'd</t>
  </si>
  <si>
    <t>we'll</t>
  </si>
  <si>
    <t>we're</t>
  </si>
  <si>
    <t>we've</t>
  </si>
  <si>
    <t>were</t>
  </si>
  <si>
    <t>weren't</t>
  </si>
  <si>
    <t>what</t>
  </si>
  <si>
    <t>what's</t>
  </si>
  <si>
    <t>when</t>
  </si>
  <si>
    <t>when's</t>
  </si>
  <si>
    <t>where</t>
  </si>
  <si>
    <t>where's</t>
  </si>
  <si>
    <t>which</t>
  </si>
  <si>
    <t>while</t>
  </si>
  <si>
    <t>who</t>
  </si>
  <si>
    <t>who's</t>
  </si>
  <si>
    <t>whom</t>
  </si>
  <si>
    <t>why</t>
  </si>
  <si>
    <t>why's</t>
  </si>
  <si>
    <t>with</t>
  </si>
  <si>
    <t>won't</t>
  </si>
  <si>
    <t>would</t>
  </si>
  <si>
    <t>wouldn't</t>
  </si>
  <si>
    <t>you</t>
  </si>
  <si>
    <t>you'd</t>
  </si>
  <si>
    <t>you'll</t>
  </si>
  <si>
    <t>you're</t>
  </si>
  <si>
    <t>you've</t>
  </si>
  <si>
    <t>your</t>
  </si>
  <si>
    <t>yours</t>
  </si>
  <si>
    <t>yourself</t>
  </si>
  <si>
    <t>yourselves</t>
  </si>
  <si>
    <t>Excel is a good tool</t>
  </si>
  <si>
    <t>good tool</t>
  </si>
  <si>
    <t>Committee meeting soon</t>
  </si>
  <si>
    <t>committee meeting soon</t>
  </si>
  <si>
    <t>Power Query amazing</t>
  </si>
  <si>
    <t>coffee keeps me focused</t>
  </si>
  <si>
    <t>coffee keeps</t>
  </si>
  <si>
    <t>success needs effort</t>
  </si>
  <si>
    <t>class book pool look</t>
  </si>
  <si>
    <t>El ms lg fn</t>
  </si>
  <si>
    <t>Pr Qy is ag</t>
  </si>
  <si>
    <t>Da is pr</t>
  </si>
  <si>
    <t>Pe ms yu pt</t>
  </si>
  <si>
    <t>Dynamic array formula magic</t>
  </si>
  <si>
    <t>Dc ay fa mc</t>
  </si>
  <si>
    <t>Text1</t>
  </si>
  <si>
    <t>Text2</t>
  </si>
  <si>
    <t>Power Query Excel Challenge</t>
  </si>
  <si>
    <t>Excel Challenge Rocks</t>
  </si>
  <si>
    <t>Excel - Challenge</t>
  </si>
  <si>
    <t>Data Analysis in Excel</t>
  </si>
  <si>
    <t>Excel Power Query</t>
  </si>
  <si>
    <t>Red Green Blue Yellow</t>
  </si>
  <si>
    <t>Blue Yellow Pink</t>
  </si>
  <si>
    <t>Blue - Yellow</t>
  </si>
  <si>
    <t>Power BI Daily Learn</t>
  </si>
  <si>
    <t>Learn - Daily</t>
  </si>
  <si>
    <t>Be happy be bright - it’s Diwali time!</t>
  </si>
  <si>
    <t>Wish you a Happy Diwali</t>
  </si>
  <si>
    <t>happy - Diwali</t>
  </si>
  <si>
    <t>Online-Sales</t>
  </si>
  <si>
    <t>Retail-Sales</t>
  </si>
  <si>
    <t>Wholesale-Sales</t>
  </si>
  <si>
    <t>Phone</t>
  </si>
  <si>
    <t>Monitor</t>
  </si>
  <si>
    <t>Keyboard</t>
  </si>
  <si>
    <t>Mouse</t>
  </si>
  <si>
    <t>Channel</t>
  </si>
  <si>
    <t>Main Diagonal</t>
  </si>
  <si>
    <t>Reverse Diagonal</t>
  </si>
  <si>
    <t>Nth Number</t>
  </si>
  <si>
    <t>6 9 17</t>
  </si>
  <si>
    <t>4 10 3</t>
  </si>
  <si>
    <t>5 0 18</t>
  </si>
  <si>
    <t>9 36 6</t>
  </si>
  <si>
    <t>Excel formulas are super powerful and fun</t>
  </si>
  <si>
    <t>Excel fun are fun powerful fun fun</t>
  </si>
  <si>
    <t>Learning daily improves Excel mastery</t>
  </si>
  <si>
    <t>Learning fun improves fun mastery</t>
  </si>
  <si>
    <t>Data skills make you future-ready</t>
  </si>
  <si>
    <t>Data fun make fun future-ready</t>
  </si>
  <si>
    <t>Excel Formula Challenge</t>
  </si>
  <si>
    <t>Ecl Frua Calne</t>
  </si>
  <si>
    <t>Dynamic Arrays are powerful</t>
  </si>
  <si>
    <t>Dnmc Ary ae pwru</t>
  </si>
  <si>
    <t>Practice daily for mastery</t>
  </si>
  <si>
    <t>Patc diy fr msey</t>
  </si>
  <si>
    <t>Excel Excel is fun fun!</t>
  </si>
  <si>
    <t>Excel (2), is (1), fun (2)</t>
  </si>
  <si>
    <t>Data, Data; Data Rules!</t>
  </si>
  <si>
    <t>Data (3), Rules (1)</t>
  </si>
  <si>
    <t>Learn Excel Excel Daily Learn Learn</t>
  </si>
  <si>
    <t>Learn (3), Excel (2), Daily (1)</t>
  </si>
  <si>
    <t>Power Query is Powerful, Power Powerful!</t>
  </si>
  <si>
    <t>Power (2), Query (1), is (1), Powerful (2)</t>
  </si>
  <si>
    <t>Arrays Arrays are Amazing Arrays are Amazing</t>
  </si>
  <si>
    <t>Arrays (3), are (2), Amazing (2)</t>
  </si>
  <si>
    <t>Excel is fun Excel is great</t>
  </si>
  <si>
    <t>excel (1,4), is (2,5), fun (3), great (6)</t>
  </si>
  <si>
    <t>Power Query is powerful, Power is magic</t>
  </si>
  <si>
    <t>power (1,5), query (2), is (3,6), powerful (4), magic (7)</t>
  </si>
  <si>
    <t>Data, data, DATA rules!</t>
  </si>
  <si>
    <t>data (1,2,3), rules (4)</t>
  </si>
  <si>
    <t>Arrays are amazing arrays are AMAZING</t>
  </si>
  <si>
    <t>arrays (1,4), are (2,5), amazing (3,6)</t>
  </si>
  <si>
    <t>Excel Excel Excel</t>
  </si>
  <si>
    <t>excel (1,2,3)</t>
  </si>
  <si>
    <t>Text</t>
  </si>
  <si>
    <t>e (1,4), x (2), c (3), l (5)</t>
  </si>
  <si>
    <t>Formula</t>
  </si>
  <si>
    <t>f (1), o (2), r (3), m (4), u (5), l (6), a (7)</t>
  </si>
  <si>
    <t>powerful</t>
  </si>
  <si>
    <t>p (1), o (2), w (3), e (4), r (5), f (6), u (7), l (8)</t>
  </si>
  <si>
    <t>amazing</t>
  </si>
  <si>
    <t>a (1,3), m (2), z (4), i (5), n (6), g (7)</t>
  </si>
  <si>
    <t>ExcelExcel</t>
  </si>
  <si>
    <t>ex (2)xc (2)ce (2)el (2)</t>
  </si>
  <si>
    <t>an (2)na (2)</t>
  </si>
  <si>
    <t>Mississippi</t>
  </si>
  <si>
    <t>is (2)ss (2)si (2)</t>
  </si>
  <si>
    <t>ababab</t>
  </si>
  <si>
    <t>ab (3)ba (2)</t>
  </si>
  <si>
    <t>e, x, c, l</t>
  </si>
  <si>
    <t>Amazing</t>
  </si>
  <si>
    <t>a, m, z, i, n, g</t>
  </si>
  <si>
    <t>m, i, s, p</t>
  </si>
  <si>
    <t>Programming</t>
  </si>
  <si>
    <t>p, r, o, g, a, m, i, n</t>
  </si>
  <si>
    <t>Letters</t>
  </si>
  <si>
    <t>Digits</t>
  </si>
  <si>
    <t>Special</t>
  </si>
  <si>
    <t>Excel2025!</t>
  </si>
  <si>
    <t>!</t>
  </si>
  <si>
    <t>A#1B$2</t>
  </si>
  <si>
    <t>AB</t>
  </si>
  <si>
    <t>#$</t>
  </si>
  <si>
    <t>Pa$$w0rd!</t>
  </si>
  <si>
    <t>Pawrd</t>
  </si>
  <si>
    <t>$$!</t>
  </si>
  <si>
    <t>PPoowweerr</t>
  </si>
  <si>
    <t>HHii!!</t>
  </si>
  <si>
    <t>Hi!</t>
  </si>
  <si>
    <t>AABBCC</t>
  </si>
  <si>
    <t>ABC</t>
  </si>
  <si>
    <t>EExxcceell</t>
  </si>
  <si>
    <t>Da</t>
  </si>
  <si>
    <t>Dat</t>
  </si>
  <si>
    <t>Data</t>
  </si>
  <si>
    <t>Ch</t>
  </si>
  <si>
    <t>Cha</t>
  </si>
  <si>
    <t>Chal</t>
  </si>
  <si>
    <t>Chall</t>
  </si>
  <si>
    <t>Challe</t>
  </si>
  <si>
    <t>Challen</t>
  </si>
  <si>
    <t>Challeng</t>
  </si>
  <si>
    <t>Challenge</t>
  </si>
  <si>
    <t>Ex</t>
  </si>
  <si>
    <t>Exc</t>
  </si>
  <si>
    <t>Exce</t>
  </si>
  <si>
    <t>aaaa</t>
  </si>
  <si>
    <t>ttt</t>
  </si>
  <si>
    <t>aa</t>
  </si>
  <si>
    <t>rrrrr</t>
  </si>
  <si>
    <t>eeee</t>
  </si>
  <si>
    <t>www</t>
  </si>
  <si>
    <t>oo</t>
  </si>
  <si>
    <t>lllll</t>
  </si>
  <si>
    <t>ccc</t>
  </si>
  <si>
    <t>xx</t>
  </si>
  <si>
    <t>Powe</t>
  </si>
  <si>
    <t>Pow</t>
  </si>
  <si>
    <t>Po</t>
  </si>
  <si>
    <t>Output (Pyramid)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</si>
</sst>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dd\-mmm\-yy"/>
    <numFmt numFmtId="165" formatCode="d\-mmm\-yy"/>
    <numFmt numFmtId="166" formatCode="dd\-mmmm\-yy"/>
    <numFmt numFmtId="167" formatCode="d\,\ m\,\ yyyy"/>
    <numFmt numFmtId="168" formatCode="d\-mmm"/>
  </numFmts>
  <fonts count="15">
    <font>
      <sz val="10"/>
      <color rgb="FF000000"/>
      <name val="Arial"/>
      <scheme val="minor"/>
    </font>
    <font>
      <sz val="11"/>
      <color theme="1"/>
      <name val="Arial"/>
      <family val="2"/>
      <charset val="238"/>
      <scheme val="minor"/>
    </font>
    <font>
      <b/>
      <sz val="11"/>
      <color rgb="FF000000"/>
      <name val="Calibri"/>
      <family val="2"/>
      <charset val="238"/>
    </font>
    <font>
      <sz val="11"/>
      <color rgb="FFC00000"/>
      <name val="Calibri"/>
      <family val="2"/>
      <charset val="238"/>
    </font>
    <font>
      <sz val="11"/>
      <color rgb="FF000000"/>
      <name val="Calibri"/>
      <family val="2"/>
      <charset val="238"/>
    </font>
    <font>
      <b/>
      <sz val="11"/>
      <color rgb="FFC00000"/>
      <name val="Calibri"/>
      <family val="2"/>
      <charset val="238"/>
    </font>
    <font>
      <b/>
      <sz val="11"/>
      <color rgb="FF0D0D0D"/>
      <name val="Calibri"/>
      <family val="2"/>
      <charset val="238"/>
    </font>
    <font>
      <b/>
      <sz val="10"/>
      <color theme="1"/>
      <name val="Arial"/>
      <family val="2"/>
      <charset val="238"/>
      <scheme val="minor"/>
    </font>
    <font>
      <sz val="10"/>
      <color theme="1"/>
      <name val="Arial"/>
      <family val="2"/>
      <charset val="238"/>
      <scheme val="minor"/>
    </font>
    <font>
      <sz val="10"/>
      <color rgb="FF000000"/>
      <name val="&quot;Arial Unicode MS&quot;"/>
    </font>
    <font>
      <sz val="11"/>
      <color rgb="FFFFFFFF"/>
      <name val="Calibri"/>
      <family val="2"/>
      <charset val="238"/>
    </font>
    <font>
      <sz val="10"/>
      <color rgb="FF000000"/>
      <name val="Arial"/>
      <family val="2"/>
      <charset val="238"/>
      <scheme val="minor"/>
    </font>
    <font>
      <sz val="10"/>
      <name val="Arial"/>
      <family val="2"/>
      <charset val="238"/>
    </font>
    <font>
      <b/>
      <sz val="10"/>
      <color rgb="FF000000"/>
      <name val="Arial"/>
      <family val="2"/>
      <charset val="238"/>
      <scheme val="minor"/>
    </font>
    <font>
      <sz val="10"/>
      <color rgb="FF000000"/>
      <name val="Arial Unicode MS"/>
    </font>
  </fonts>
  <fills count="13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rgb="FF00B050"/>
        <bgColor rgb="FF00B050"/>
      </patternFill>
    </fill>
    <fill>
      <patternFill patternType="solid">
        <fgColor rgb="FFC00000"/>
        <bgColor rgb="FFC00000"/>
      </patternFill>
    </fill>
    <fill>
      <patternFill patternType="solid">
        <fgColor rgb="FF2F75B5"/>
        <bgColor rgb="FF2F75B5"/>
      </patternFill>
    </fill>
    <fill>
      <patternFill patternType="solid">
        <fgColor rgb="FF161616"/>
        <bgColor rgb="FF161616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11" fillId="0" borderId="0"/>
  </cellStyleXfs>
  <cellXfs count="102"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horizontal="right"/>
    </xf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0" fontId="6" fillId="2" borderId="0" xfId="0" applyFont="1" applyFill="1" applyAlignment="1">
      <alignment horizontal="center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2" borderId="0" xfId="0" applyFont="1" applyFill="1"/>
    <xf numFmtId="167" fontId="4" fillId="0" borderId="0" xfId="0" applyNumberFormat="1" applyFont="1"/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10" fillId="4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10" fillId="5" borderId="0" xfId="0" applyFont="1" applyFill="1"/>
    <xf numFmtId="0" fontId="10" fillId="4" borderId="0" xfId="0" applyFont="1" applyFill="1"/>
    <xf numFmtId="0" fontId="10" fillId="5" borderId="0" xfId="0" applyFont="1" applyFill="1" applyAlignment="1">
      <alignment horizontal="right"/>
    </xf>
    <xf numFmtId="0" fontId="10" fillId="6" borderId="0" xfId="0" applyFont="1" applyFill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2" xfId="0" applyFont="1" applyBorder="1"/>
    <xf numFmtId="0" fontId="4" fillId="0" borderId="2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4" fillId="0" borderId="3" xfId="0" applyFont="1" applyBorder="1"/>
    <xf numFmtId="9" fontId="4" fillId="0" borderId="0" xfId="0" applyNumberFormat="1" applyFont="1" applyAlignment="1">
      <alignment horizontal="right"/>
    </xf>
    <xf numFmtId="0" fontId="3" fillId="2" borderId="0" xfId="0" applyFont="1" applyFill="1" applyAlignment="1">
      <alignment horizontal="left"/>
    </xf>
    <xf numFmtId="3" fontId="4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right"/>
    </xf>
    <xf numFmtId="0" fontId="3" fillId="7" borderId="0" xfId="0" applyFont="1" applyFill="1"/>
    <xf numFmtId="0" fontId="5" fillId="7" borderId="0" xfId="0" applyFont="1" applyFill="1" applyAlignment="1">
      <alignment horizontal="center"/>
    </xf>
    <xf numFmtId="22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0" fontId="11" fillId="0" borderId="0" xfId="0" applyFont="1" applyAlignment="1">
      <alignment wrapText="1"/>
    </xf>
    <xf numFmtId="0" fontId="2" fillId="0" borderId="5" xfId="0" applyFont="1" applyBorder="1" applyAlignment="1">
      <alignment horizontal="center" wrapText="1"/>
    </xf>
    <xf numFmtId="0" fontId="5" fillId="8" borderId="5" xfId="0" applyFont="1" applyFill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11" fillId="0" borderId="0" xfId="0" applyFont="1"/>
    <xf numFmtId="0" fontId="2" fillId="0" borderId="6" xfId="0" applyFont="1" applyBorder="1" applyAlignment="1">
      <alignment horizontal="center" wrapText="1"/>
    </xf>
    <xf numFmtId="0" fontId="5" fillId="8" borderId="6" xfId="0" applyFont="1" applyFill="1" applyBorder="1" applyAlignment="1">
      <alignment horizontal="center" wrapText="1"/>
    </xf>
    <xf numFmtId="0" fontId="4" fillId="0" borderId="6" xfId="0" applyFont="1" applyBorder="1" applyAlignment="1">
      <alignment wrapText="1"/>
    </xf>
    <xf numFmtId="0" fontId="2" fillId="0" borderId="0" xfId="2" applyFont="1" applyAlignment="1">
      <alignment horizontal="center"/>
    </xf>
    <xf numFmtId="0" fontId="3" fillId="2" borderId="0" xfId="2" applyFont="1" applyFill="1"/>
    <xf numFmtId="0" fontId="11" fillId="0" borderId="0" xfId="2"/>
    <xf numFmtId="0" fontId="4" fillId="0" borderId="0" xfId="2" applyFont="1"/>
    <xf numFmtId="0" fontId="4" fillId="0" borderId="0" xfId="2" applyFont="1" applyAlignment="1">
      <alignment horizontal="center"/>
    </xf>
    <xf numFmtId="0" fontId="5" fillId="2" borderId="9" xfId="2" applyFont="1" applyFill="1" applyBorder="1" applyAlignment="1">
      <alignment horizontal="center"/>
    </xf>
    <xf numFmtId="0" fontId="5" fillId="2" borderId="10" xfId="2" applyFont="1" applyFill="1" applyBorder="1" applyAlignment="1">
      <alignment horizontal="center"/>
    </xf>
    <xf numFmtId="0" fontId="5" fillId="2" borderId="4" xfId="2" applyFont="1" applyFill="1" applyBorder="1" applyAlignment="1">
      <alignment horizontal="center"/>
    </xf>
    <xf numFmtId="0" fontId="4" fillId="0" borderId="11" xfId="2" applyFont="1" applyBorder="1"/>
    <xf numFmtId="0" fontId="4" fillId="0" borderId="0" xfId="2" applyFont="1" applyAlignment="1">
      <alignment horizontal="right"/>
    </xf>
    <xf numFmtId="0" fontId="4" fillId="0" borderId="12" xfId="2" applyFont="1" applyBorder="1" applyAlignment="1">
      <alignment horizontal="right"/>
    </xf>
    <xf numFmtId="0" fontId="4" fillId="0" borderId="9" xfId="2" applyFont="1" applyBorder="1"/>
    <xf numFmtId="0" fontId="4" fillId="0" borderId="10" xfId="2" applyFont="1" applyBorder="1"/>
    <xf numFmtId="0" fontId="4" fillId="0" borderId="10" xfId="2" applyFont="1" applyBorder="1" applyAlignment="1">
      <alignment horizontal="right"/>
    </xf>
    <xf numFmtId="0" fontId="4" fillId="0" borderId="4" xfId="2" applyFont="1" applyBorder="1" applyAlignment="1">
      <alignment horizontal="right"/>
    </xf>
    <xf numFmtId="0" fontId="5" fillId="2" borderId="0" xfId="2" applyFont="1" applyFill="1" applyAlignment="1">
      <alignment horizontal="center"/>
    </xf>
    <xf numFmtId="0" fontId="5" fillId="7" borderId="0" xfId="2" applyFont="1" applyFill="1" applyAlignment="1">
      <alignment horizontal="center"/>
    </xf>
    <xf numFmtId="0" fontId="4" fillId="0" borderId="0" xfId="2" applyFont="1" applyAlignment="1">
      <alignment horizontal="left"/>
    </xf>
    <xf numFmtId="0" fontId="2" fillId="7" borderId="0" xfId="2" applyFont="1" applyFill="1"/>
    <xf numFmtId="0" fontId="2" fillId="0" borderId="0" xfId="2" applyFont="1"/>
    <xf numFmtId="0" fontId="5" fillId="0" borderId="0" xfId="0" applyFont="1"/>
    <xf numFmtId="0" fontId="2" fillId="9" borderId="13" xfId="0" applyFont="1" applyFill="1" applyBorder="1" applyAlignment="1">
      <alignment horizontal="center" wrapText="1"/>
    </xf>
    <xf numFmtId="0" fontId="2" fillId="9" borderId="14" xfId="0" applyFont="1" applyFill="1" applyBorder="1" applyAlignment="1">
      <alignment horizontal="center" wrapText="1"/>
    </xf>
    <xf numFmtId="0" fontId="4" fillId="0" borderId="15" xfId="0" applyFont="1" applyBorder="1" applyAlignment="1">
      <alignment wrapText="1"/>
    </xf>
    <xf numFmtId="0" fontId="4" fillId="0" borderId="16" xfId="0" applyFont="1" applyBorder="1" applyAlignment="1">
      <alignment horizontal="right" wrapText="1"/>
    </xf>
    <xf numFmtId="0" fontId="5" fillId="8" borderId="13" xfId="0" applyFont="1" applyFill="1" applyBorder="1" applyAlignment="1">
      <alignment horizontal="center" wrapText="1"/>
    </xf>
    <xf numFmtId="0" fontId="5" fillId="8" borderId="14" xfId="0" applyFont="1" applyFill="1" applyBorder="1" applyAlignment="1">
      <alignment horizontal="center" wrapText="1"/>
    </xf>
    <xf numFmtId="0" fontId="4" fillId="0" borderId="16" xfId="0" applyFont="1" applyBorder="1" applyAlignment="1">
      <alignment wrapText="1"/>
    </xf>
    <xf numFmtId="0" fontId="11" fillId="0" borderId="6" xfId="0" applyFont="1" applyBorder="1" applyAlignment="1">
      <alignment wrapText="1"/>
    </xf>
    <xf numFmtId="0" fontId="3" fillId="10" borderId="6" xfId="0" applyFont="1" applyFill="1" applyBorder="1" applyAlignment="1">
      <alignment wrapText="1"/>
    </xf>
    <xf numFmtId="0" fontId="4" fillId="0" borderId="6" xfId="0" applyFont="1" applyBorder="1" applyAlignment="1">
      <alignment horizontal="right" wrapText="1"/>
    </xf>
    <xf numFmtId="0" fontId="4" fillId="11" borderId="6" xfId="0" applyFont="1" applyFill="1" applyBorder="1" applyAlignment="1">
      <alignment horizontal="right" wrapText="1"/>
    </xf>
    <xf numFmtId="0" fontId="4" fillId="12" borderId="6" xfId="0" applyFont="1" applyFill="1" applyBorder="1" applyAlignment="1">
      <alignment horizontal="right" wrapText="1"/>
    </xf>
    <xf numFmtId="0" fontId="4" fillId="9" borderId="6" xfId="0" applyFont="1" applyFill="1" applyBorder="1" applyAlignment="1">
      <alignment horizontal="right" wrapText="1"/>
    </xf>
    <xf numFmtId="0" fontId="0" fillId="11" borderId="0" xfId="0" applyFill="1"/>
    <xf numFmtId="0" fontId="13" fillId="11" borderId="0" xfId="0" applyFont="1" applyFill="1" applyAlignment="1">
      <alignment horizontal="center" vertical="center"/>
    </xf>
    <xf numFmtId="0" fontId="3" fillId="8" borderId="6" xfId="0" applyFont="1" applyFill="1" applyBorder="1" applyAlignment="1">
      <alignment wrapText="1"/>
    </xf>
    <xf numFmtId="0" fontId="4" fillId="0" borderId="6" xfId="0" applyFont="1" applyBorder="1" applyAlignment="1">
      <alignment horizontal="center" wrapText="1"/>
    </xf>
    <xf numFmtId="0" fontId="14" fillId="0" borderId="6" xfId="0" applyFont="1" applyBorder="1" applyAlignment="1">
      <alignment wrapText="1"/>
    </xf>
    <xf numFmtId="0" fontId="14" fillId="0" borderId="17" xfId="0" applyFont="1" applyBorder="1" applyAlignment="1">
      <alignment wrapText="1"/>
    </xf>
    <xf numFmtId="0" fontId="2" fillId="0" borderId="18" xfId="0" applyFont="1" applyBorder="1" applyAlignment="1">
      <alignment horizontal="center" wrapText="1"/>
    </xf>
    <xf numFmtId="0" fontId="14" fillId="0" borderId="19" xfId="0" applyFont="1" applyBorder="1" applyAlignment="1">
      <alignment wrapText="1"/>
    </xf>
    <xf numFmtId="0" fontId="5" fillId="2" borderId="7" xfId="2" applyFont="1" applyFill="1" applyBorder="1" applyAlignment="1">
      <alignment horizontal="center"/>
    </xf>
    <xf numFmtId="0" fontId="12" fillId="0" borderId="8" xfId="2" applyFont="1" applyBorder="1"/>
    <xf numFmtId="0" fontId="12" fillId="0" borderId="2" xfId="2" applyFont="1" applyBorder="1"/>
    <xf numFmtId="0" fontId="3" fillId="2" borderId="0" xfId="0" applyFont="1" applyFill="1" applyAlignment="1">
      <alignment horizontal="center"/>
    </xf>
    <xf numFmtId="0" fontId="0" fillId="0" borderId="0" xfId="0"/>
    <xf numFmtId="0" fontId="10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ny" xfId="0" builtinId="0"/>
    <cellStyle name="Normalny 2" xfId="1" xr:uid="{FDA1116B-9947-40FB-9487-A9C912978C81}"/>
    <cellStyle name="Normalny 3" xfId="2" xr:uid="{81A9A244-D2E2-4E66-918E-E76D5D8D51CF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38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3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38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38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38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38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38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38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38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38"/>
        <scheme val="none"/>
      </font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35FF2DBB-0C8A-4085-914B-A417BECD61C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microsoft.com/office/2023/09/relationships/Python" Target="pytho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theme" Target="theme/theme1.xml"/><Relationship Id="rId79" Type="http://schemas.microsoft.com/office/2017/06/relationships/rdRichValue" Target="richData/rdrichvalue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connections" Target="connections.xml"/><Relationship Id="rId83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heetMetadata" Target="metadata.xml"/><Relationship Id="rId81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209550</xdr:rowOff>
    </xdr:from>
    <xdr:ext cx="4219575" cy="1962150"/>
    <xdr:pic>
      <xdr:nvPicPr>
        <xdr:cNvPr id="2" name="image19.png" title="Image">
          <a:extLst>
            <a:ext uri="{FF2B5EF4-FFF2-40B4-BE49-F238E27FC236}">
              <a16:creationId xmlns:a16="http://schemas.microsoft.com/office/drawing/2014/main" id="{0325632F-A7A4-490D-BCE3-96BAB6147B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5450" y="161925"/>
          <a:ext cx="4219575" cy="19621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619125</xdr:colOff>
      <xdr:row>1</xdr:row>
      <xdr:rowOff>9525</xdr:rowOff>
    </xdr:from>
    <xdr:ext cx="4238625" cy="1476375"/>
    <xdr:pic>
      <xdr:nvPicPr>
        <xdr:cNvPr id="2" name="image21.png" title="Image">
          <a:extLst>
            <a:ext uri="{FF2B5EF4-FFF2-40B4-BE49-F238E27FC236}">
              <a16:creationId xmlns:a16="http://schemas.microsoft.com/office/drawing/2014/main" id="{0AE9BCAF-A46F-4455-A0DE-A2CFD4C3B3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71925" y="209550"/>
          <a:ext cx="4238625" cy="14763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1047750</xdr:colOff>
      <xdr:row>1</xdr:row>
      <xdr:rowOff>219075</xdr:rowOff>
    </xdr:from>
    <xdr:ext cx="5810250" cy="914400"/>
    <xdr:pic>
      <xdr:nvPicPr>
        <xdr:cNvPr id="2" name="image9.png" title="Image">
          <a:extLst>
            <a:ext uri="{FF2B5EF4-FFF2-40B4-BE49-F238E27FC236}">
              <a16:creationId xmlns:a16="http://schemas.microsoft.com/office/drawing/2014/main" id="{55348445-EA56-4856-BBC9-C345CD3D394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76400" y="323850"/>
          <a:ext cx="5810250" cy="9144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</xdr:row>
      <xdr:rowOff>0</xdr:rowOff>
    </xdr:from>
    <xdr:ext cx="8229600" cy="1295400"/>
    <xdr:pic>
      <xdr:nvPicPr>
        <xdr:cNvPr id="2" name="image18.png" title="Image">
          <a:extLst>
            <a:ext uri="{FF2B5EF4-FFF2-40B4-BE49-F238E27FC236}">
              <a16:creationId xmlns:a16="http://schemas.microsoft.com/office/drawing/2014/main" id="{37DD6568-C3BB-4478-ADA0-B7CAE5D639C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76400" y="323850"/>
          <a:ext cx="8229600" cy="12954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4514850" cy="1314450"/>
    <xdr:pic>
      <xdr:nvPicPr>
        <xdr:cNvPr id="2" name="image10.png" title="Image">
          <a:extLst>
            <a:ext uri="{FF2B5EF4-FFF2-40B4-BE49-F238E27FC236}">
              <a16:creationId xmlns:a16="http://schemas.microsoft.com/office/drawing/2014/main" id="{897446CF-457D-4475-9BE9-6CDBFCE1CE3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76400" y="161925"/>
          <a:ext cx="4514850" cy="131445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200025</xdr:rowOff>
    </xdr:from>
    <xdr:ext cx="4514850" cy="381000"/>
    <xdr:pic>
      <xdr:nvPicPr>
        <xdr:cNvPr id="2" name="image17.png" title="Image">
          <a:extLst>
            <a:ext uri="{FF2B5EF4-FFF2-40B4-BE49-F238E27FC236}">
              <a16:creationId xmlns:a16="http://schemas.microsoft.com/office/drawing/2014/main" id="{23809FBF-3F29-42A4-BCB5-451FCD416E0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971550"/>
          <a:ext cx="4514850" cy="3810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7</xdr:row>
      <xdr:rowOff>142875</xdr:rowOff>
    </xdr:from>
    <xdr:to>
      <xdr:col>2</xdr:col>
      <xdr:colOff>790575</xdr:colOff>
      <xdr:row>11</xdr:row>
      <xdr:rowOff>86878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8D09D23A-5D0B-3DB9-C347-E0CBBA954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4" y="1543050"/>
          <a:ext cx="4248151" cy="7441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6</xdr:row>
      <xdr:rowOff>66675</xdr:rowOff>
    </xdr:from>
    <xdr:to>
      <xdr:col>1</xdr:col>
      <xdr:colOff>981075</xdr:colOff>
      <xdr:row>9</xdr:row>
      <xdr:rowOff>142875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29B3C1DF-E1A1-E529-E2BE-4F6626DC4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266825"/>
          <a:ext cx="380047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7</xdr:row>
      <xdr:rowOff>95250</xdr:rowOff>
    </xdr:from>
    <xdr:to>
      <xdr:col>1</xdr:col>
      <xdr:colOff>866775</xdr:colOff>
      <xdr:row>10</xdr:row>
      <xdr:rowOff>190500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4FC9022F-FD4B-93A9-AAF8-264C8F7ED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495425"/>
          <a:ext cx="390525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1</xdr:col>
      <xdr:colOff>2371725</xdr:colOff>
      <xdr:row>13</xdr:row>
      <xdr:rowOff>85725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37313105-5ECE-5465-EAF8-3C3E2D5B8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4950"/>
          <a:ext cx="5505450" cy="1285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200024</xdr:rowOff>
    </xdr:from>
    <xdr:to>
      <xdr:col>2</xdr:col>
      <xdr:colOff>0</xdr:colOff>
      <xdr:row>12</xdr:row>
      <xdr:rowOff>2018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CAA41ADC-E74A-56BE-09C0-721AD47EA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0199"/>
          <a:ext cx="5076825" cy="8021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171449</xdr:colOff>
      <xdr:row>5</xdr:row>
      <xdr:rowOff>9525</xdr:rowOff>
    </xdr:from>
    <xdr:to>
      <xdr:col>1</xdr:col>
      <xdr:colOff>2059041</xdr:colOff>
      <xdr:row>8</xdr:row>
      <xdr:rowOff>152400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92C18CBD-2870-B676-EFE8-47F154D64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49" y="1009650"/>
          <a:ext cx="5021317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771525</xdr:colOff>
      <xdr:row>6</xdr:row>
      <xdr:rowOff>142875</xdr:rowOff>
    </xdr:from>
    <xdr:to>
      <xdr:col>6</xdr:col>
      <xdr:colOff>457200</xdr:colOff>
      <xdr:row>10</xdr:row>
      <xdr:rowOff>47625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06AE29E8-752C-E9DA-EA52-A649E9D7A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343025"/>
          <a:ext cx="476250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66674</xdr:rowOff>
    </xdr:from>
    <xdr:to>
      <xdr:col>3</xdr:col>
      <xdr:colOff>422502</xdr:colOff>
      <xdr:row>9</xdr:row>
      <xdr:rowOff>38099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20B6FF7E-309D-B080-FD68-1453AB15B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6799"/>
          <a:ext cx="7109052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276225</xdr:colOff>
      <xdr:row>7</xdr:row>
      <xdr:rowOff>38100</xdr:rowOff>
    </xdr:from>
    <xdr:to>
      <xdr:col>11</xdr:col>
      <xdr:colOff>619125</xdr:colOff>
      <xdr:row>12</xdr:row>
      <xdr:rowOff>9525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E0254728-21D9-2D54-8D7C-5B8F53FDC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1438275"/>
          <a:ext cx="7962900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104775</xdr:colOff>
      <xdr:row>5</xdr:row>
      <xdr:rowOff>190500</xdr:rowOff>
    </xdr:from>
    <xdr:to>
      <xdr:col>12</xdr:col>
      <xdr:colOff>704850</xdr:colOff>
      <xdr:row>10</xdr:row>
      <xdr:rowOff>0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314C7318-9ED6-4CC9-EC89-7CEFB7CD3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1190625"/>
          <a:ext cx="5724525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8</xdr:row>
      <xdr:rowOff>85725</xdr:rowOff>
    </xdr:from>
    <xdr:to>
      <xdr:col>5</xdr:col>
      <xdr:colOff>752475</xdr:colOff>
      <xdr:row>10</xdr:row>
      <xdr:rowOff>85725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792E5EBE-1876-DFD4-8081-49CAC7B5B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685925"/>
          <a:ext cx="48387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161925</xdr:colOff>
      <xdr:row>8</xdr:row>
      <xdr:rowOff>76200</xdr:rowOff>
    </xdr:from>
    <xdr:to>
      <xdr:col>14</xdr:col>
      <xdr:colOff>514350</xdr:colOff>
      <xdr:row>12</xdr:row>
      <xdr:rowOff>152400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8AB087E4-25AA-2987-C18C-C46F117D9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76400"/>
          <a:ext cx="695325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7</xdr:row>
      <xdr:rowOff>123825</xdr:rowOff>
    </xdr:from>
    <xdr:to>
      <xdr:col>14</xdr:col>
      <xdr:colOff>66675</xdr:colOff>
      <xdr:row>10</xdr:row>
      <xdr:rowOff>180975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FB8FA452-D2E2-E7DF-EFCA-A7EA82AEA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524000"/>
          <a:ext cx="6553200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152400</xdr:colOff>
      <xdr:row>11</xdr:row>
      <xdr:rowOff>104775</xdr:rowOff>
    </xdr:from>
    <xdr:to>
      <xdr:col>10</xdr:col>
      <xdr:colOff>47625</xdr:colOff>
      <xdr:row>17</xdr:row>
      <xdr:rowOff>76200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1A763ADF-6F83-6F50-91DC-70EF5EA77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305050"/>
          <a:ext cx="5591175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</xdr:colOff>
      <xdr:row>17</xdr:row>
      <xdr:rowOff>19050</xdr:rowOff>
    </xdr:from>
    <xdr:to>
      <xdr:col>13</xdr:col>
      <xdr:colOff>38100</xdr:colOff>
      <xdr:row>21</xdr:row>
      <xdr:rowOff>9525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83A40524-0993-2912-2696-C5316963B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3419475"/>
          <a:ext cx="37242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21</xdr:row>
      <xdr:rowOff>180975</xdr:rowOff>
    </xdr:from>
    <xdr:to>
      <xdr:col>5</xdr:col>
      <xdr:colOff>762000</xdr:colOff>
      <xdr:row>26</xdr:row>
      <xdr:rowOff>76200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87234BC9-42FF-FB90-0025-D3F704B61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4381500"/>
          <a:ext cx="4705350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9</xdr:row>
      <xdr:rowOff>190500</xdr:rowOff>
    </xdr:from>
    <xdr:to>
      <xdr:col>3</xdr:col>
      <xdr:colOff>266700</xdr:colOff>
      <xdr:row>13</xdr:row>
      <xdr:rowOff>9525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C674DC85-2D73-D9C8-1EEA-C5682B4C6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1990725"/>
          <a:ext cx="4676775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200025</xdr:rowOff>
    </xdr:from>
    <xdr:ext cx="4200525" cy="1762125"/>
    <xdr:pic>
      <xdr:nvPicPr>
        <xdr:cNvPr id="2" name="image5.png" title="Image">
          <a:extLst>
            <a:ext uri="{FF2B5EF4-FFF2-40B4-BE49-F238E27FC236}">
              <a16:creationId xmlns:a16="http://schemas.microsoft.com/office/drawing/2014/main" id="{B2D2216D-5223-4996-9FA0-F5DA6AA0BF5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400175"/>
          <a:ext cx="4200525" cy="1762125"/>
        </a:xfrm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4</xdr:row>
      <xdr:rowOff>104775</xdr:rowOff>
    </xdr:from>
    <xdr:ext cx="4400550" cy="25717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33436803-5263-4A5D-B853-B4729B49898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05525" y="904875"/>
          <a:ext cx="4400550" cy="2571750"/>
        </a:xfrm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8</xdr:row>
      <xdr:rowOff>200025</xdr:rowOff>
    </xdr:from>
    <xdr:ext cx="4791075" cy="1104900"/>
    <xdr:pic>
      <xdr:nvPicPr>
        <xdr:cNvPr id="2" name="image19.png" title="Image">
          <a:extLst>
            <a:ext uri="{FF2B5EF4-FFF2-40B4-BE49-F238E27FC236}">
              <a16:creationId xmlns:a16="http://schemas.microsoft.com/office/drawing/2014/main" id="{18ED07BA-9BC7-4E86-B4E7-17AE9C2E695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" y="1800225"/>
          <a:ext cx="4791075" cy="1104900"/>
        </a:xfrm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47625</xdr:rowOff>
    </xdr:from>
    <xdr:ext cx="5572125" cy="1171575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9C19FAF3-6689-4145-ADBC-B0CE99C1CAE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247900"/>
          <a:ext cx="5572125" cy="1171575"/>
        </a:xfrm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171450</xdr:rowOff>
    </xdr:from>
    <xdr:ext cx="6838950" cy="1581150"/>
    <xdr:pic>
      <xdr:nvPicPr>
        <xdr:cNvPr id="2" name="image10.png" title="Image">
          <a:extLst>
            <a:ext uri="{FF2B5EF4-FFF2-40B4-BE49-F238E27FC236}">
              <a16:creationId xmlns:a16="http://schemas.microsoft.com/office/drawing/2014/main" id="{7518CD28-1180-4F4B-A134-CA294A5A93E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171575"/>
          <a:ext cx="6838950" cy="1581150"/>
        </a:xfrm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114300</xdr:colOff>
      <xdr:row>0</xdr:row>
      <xdr:rowOff>123825</xdr:rowOff>
    </xdr:from>
    <xdr:ext cx="4333875" cy="1619250"/>
    <xdr:pic>
      <xdr:nvPicPr>
        <xdr:cNvPr id="2" name="image9.png" title="Image">
          <a:extLst>
            <a:ext uri="{FF2B5EF4-FFF2-40B4-BE49-F238E27FC236}">
              <a16:creationId xmlns:a16="http://schemas.microsoft.com/office/drawing/2014/main" id="{4B16EDA6-2384-4E11-8B0C-44663E208DB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67400" y="123825"/>
          <a:ext cx="4333875" cy="1619250"/>
        </a:xfrm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219075</xdr:rowOff>
    </xdr:from>
    <xdr:ext cx="3324225" cy="1628775"/>
    <xdr:pic>
      <xdr:nvPicPr>
        <xdr:cNvPr id="2" name="image8.png" title="Image">
          <a:extLst>
            <a:ext uri="{FF2B5EF4-FFF2-40B4-BE49-F238E27FC236}">
              <a16:creationId xmlns:a16="http://schemas.microsoft.com/office/drawing/2014/main" id="{933D6C86-0655-4AB5-A29F-D7DC3A38F1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600200"/>
          <a:ext cx="3324225" cy="1628775"/>
        </a:xfrm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6991350" cy="1314450"/>
    <xdr:pic>
      <xdr:nvPicPr>
        <xdr:cNvPr id="2" name="image11.png" title="Image">
          <a:extLst>
            <a:ext uri="{FF2B5EF4-FFF2-40B4-BE49-F238E27FC236}">
              <a16:creationId xmlns:a16="http://schemas.microsoft.com/office/drawing/2014/main" id="{419783B1-F1EC-489E-8516-26DD4C6602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600200"/>
          <a:ext cx="6991350" cy="1314450"/>
        </a:xfrm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7562850" cy="1114425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6AC8054E-6E01-464F-AF79-B65A3B5024E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600200"/>
          <a:ext cx="7562850" cy="1114425"/>
        </a:xfrm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1323975</xdr:colOff>
      <xdr:row>6</xdr:row>
      <xdr:rowOff>171450</xdr:rowOff>
    </xdr:from>
    <xdr:to>
      <xdr:col>2</xdr:col>
      <xdr:colOff>1685925</xdr:colOff>
      <xdr:row>12</xdr:row>
      <xdr:rowOff>95250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6551D606-35D6-7BA8-9E97-176473C12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975" y="1371600"/>
          <a:ext cx="456247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9</xdr:row>
      <xdr:rowOff>161925</xdr:rowOff>
    </xdr:from>
    <xdr:to>
      <xdr:col>3</xdr:col>
      <xdr:colOff>428625</xdr:colOff>
      <xdr:row>14</xdr:row>
      <xdr:rowOff>57150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ECD32801-ADEB-C340-3388-3F2DCC794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1962150"/>
          <a:ext cx="606742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6</xdr:row>
      <xdr:rowOff>47625</xdr:rowOff>
    </xdr:from>
    <xdr:to>
      <xdr:col>2</xdr:col>
      <xdr:colOff>657225</xdr:colOff>
      <xdr:row>11</xdr:row>
      <xdr:rowOff>171450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D531C3C4-ACE1-3B24-C8CF-2433E9956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247775"/>
          <a:ext cx="4552950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7</xdr:row>
      <xdr:rowOff>95250</xdr:rowOff>
    </xdr:from>
    <xdr:to>
      <xdr:col>2</xdr:col>
      <xdr:colOff>1285875</xdr:colOff>
      <xdr:row>13</xdr:row>
      <xdr:rowOff>19050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47746D11-2221-B0BB-F058-C07B933C1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495425"/>
          <a:ext cx="532447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28575</xdr:rowOff>
    </xdr:from>
    <xdr:ext cx="4448175" cy="165735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4448175" cy="1657350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104775</xdr:rowOff>
    </xdr:from>
    <xdr:ext cx="3648075" cy="13620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981075</xdr:colOff>
      <xdr:row>16</xdr:row>
      <xdr:rowOff>152400</xdr:rowOff>
    </xdr:from>
    <xdr:ext cx="3543300" cy="131445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1075" y="3352800"/>
          <a:ext cx="3543300" cy="1314450"/>
        </a:xfrm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409575</xdr:colOff>
      <xdr:row>11</xdr:row>
      <xdr:rowOff>28575</xdr:rowOff>
    </xdr:from>
    <xdr:ext cx="2933700" cy="1095375"/>
    <xdr:pic>
      <xdr:nvPicPr>
        <xdr:cNvPr id="2" name="image7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85975" y="2228850"/>
          <a:ext cx="2933700" cy="1095375"/>
        </a:xfrm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28575</xdr:rowOff>
    </xdr:from>
    <xdr:ext cx="6648450" cy="1057275"/>
    <xdr:pic>
      <xdr:nvPicPr>
        <xdr:cNvPr id="2" name="image6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9315450" cy="1209675"/>
    <xdr:pic>
      <xdr:nvPicPr>
        <xdr:cNvPr id="2" name="image5.png" title="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7D07883-A61A-48E7-9071-C25390FF4993}" autoFormatId="16" applyNumberFormats="0" applyBorderFormats="0" applyFontFormats="0" applyPatternFormats="0" applyAlignmentFormats="0" applyWidthHeightFormats="0">
  <queryTableRefresh nextId="2">
    <queryTableFields count="1">
      <queryTableField id="1" name="Text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7CBB1E2-9214-4DF8-A966-C22ADD3BE7DD}" autoFormatId="16" applyNumberFormats="0" applyBorderFormats="0" applyFontFormats="0" applyPatternFormats="0" applyAlignmentFormats="0" applyWidthHeightFormats="0">
  <queryTableRefresh nextId="4">
    <queryTableFields count="3">
      <queryTableField id="1" name="Letters" tableColumnId="1"/>
      <queryTableField id="2" name="Digits" tableColumnId="2"/>
      <queryTableField id="3" name="Special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3535122-999E-4BE6-89A1-C5A3FAA99633}" autoFormatId="16" applyNumberFormats="0" applyBorderFormats="0" applyFontFormats="0" applyPatternFormats="0" applyAlignmentFormats="0" applyWidthHeightFormats="0">
  <queryTableRefresh nextId="7">
    <queryTableFields count="6">
      <queryTableField id="1" name="Region" tableColumnId="1"/>
      <queryTableField id="2" name="Product" tableColumnId="2"/>
      <queryTableField id="3" name="Variant" tableColumnId="3"/>
      <queryTableField id="4" name="Total Units" tableColumnId="4"/>
      <queryTableField id="5" name="Sales" tableColumnId="5"/>
      <queryTableField id="6" name="Profit" tableColumnId="6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7DF48D7-7A44-4109-9A65-3E7CAB72B3A1}" name="tbl_108" displayName="tbl_108" ref="A1:A4" totalsRowShown="0" headerRowDxfId="14" dataDxfId="13" headerRowCellStyle="Normalny 3" dataCellStyle="Normalny 3">
  <autoFilter ref="A1:A4" xr:uid="{F7DF48D7-7A44-4109-9A65-3E7CAB72B3A1}"/>
  <tableColumns count="1">
    <tableColumn id="1" xr3:uid="{B21DA59A-67B4-42B6-B1FE-9027334F0E28}" name="Text" dataDxfId="12" dataCellStyle="Normalny 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FADC7F2-3105-4677-9DCB-28E5A8A9C4A7}" name="tbl_107" displayName="tbl_107" ref="A1:A4" totalsRowShown="0" headerRowDxfId="11" dataDxfId="10" headerRowCellStyle="Normalny 3" dataCellStyle="Normalny 3">
  <autoFilter ref="A1:A4" xr:uid="{0FADC7F2-3105-4677-9DCB-28E5A8A9C4A7}"/>
  <tableColumns count="1">
    <tableColumn id="1" xr3:uid="{7E0F0F29-828A-40DD-A5EE-19E77064B696}" name="Text" dataDxfId="9" dataCellStyle="Normalny 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8ED569-0FD8-43D9-9E1D-4B6A087FAB65}" name="tbl_106" displayName="tbl_106" ref="A1:A5" totalsRowShown="0" headerRowDxfId="8" dataDxfId="7" headerRowCellStyle="Normalny 3" dataCellStyle="Normalny 3">
  <autoFilter ref="A1:A5" xr:uid="{5E8ED569-0FD8-43D9-9E1D-4B6A087FAB65}"/>
  <tableColumns count="1">
    <tableColumn id="1" xr3:uid="{53F59D6E-20F5-45EB-BA82-D9D46DEFD791}" name="Text" dataDxfId="6" dataCellStyle="Normalny 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20FA133-2F64-474A-AC72-197B6AB9D779}" name="tblSolution106" displayName="tblSolution106" ref="H2:H6" tableType="queryTable" totalsRowShown="0" headerRowCellStyle="Normalny 3" dataCellStyle="Normalny 3">
  <autoFilter ref="H2:H6" xr:uid="{020FA133-2F64-474A-AC72-197B6AB9D779}"/>
  <tableColumns count="1">
    <tableColumn id="1" xr3:uid="{3C0A1E8B-298C-4566-9F2C-E88EAC15B2C0}" uniqueName="1" name="Text" queryTableFieldId="1" dataCellStyle="Normalny 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456A9D-907D-4AD7-BF0E-50EBF7FE1AD5}" name="tblStart" displayName="tblStart" ref="A1:A4" totalsRowShown="0" headerRowDxfId="5" dataDxfId="3" headerRowBorderDxfId="4" tableBorderDxfId="2" totalsRowBorderDxfId="1">
  <autoFilter ref="A1:A4" xr:uid="{A7456A9D-907D-4AD7-BF0E-50EBF7FE1AD5}"/>
  <tableColumns count="1">
    <tableColumn id="1" xr3:uid="{54D35C18-4031-4C71-A168-88E48205F46E}" name="Text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4DBE05-5379-489E-B335-538C0E67DCF5}" name="tblSolution105" displayName="tblSolution105" ref="F8:H11" tableType="queryTable" totalsRowShown="0">
  <autoFilter ref="F8:H11" xr:uid="{AB4DBE05-5379-489E-B335-538C0E67DCF5}"/>
  <tableColumns count="3">
    <tableColumn id="1" xr3:uid="{E5245B2D-4F98-4216-A303-D4660D9C3C27}" uniqueName="1" name="Letters" queryTableFieldId="1"/>
    <tableColumn id="2" xr3:uid="{9F4EEBDF-A81B-43DF-885A-DF33BA0B260A}" uniqueName="2" name="Digits" queryTableFieldId="2"/>
    <tableColumn id="3" xr3:uid="{CE99C08A-3C0A-473C-AC8A-F59B45ADD28C}" uniqueName="3" name="Special" queryTableFieldId="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E4E217-E865-4012-93B3-15EFC176B8EF}" name="tblSolution" displayName="tblSolution" ref="B17:G23" tableType="queryTable" totalsRowShown="0" headerRowCellStyle="Normalny 3" dataCellStyle="Normalny 3">
  <autoFilter ref="B17:G23" xr:uid="{B0E4E217-E865-4012-93B3-15EFC176B8EF}"/>
  <tableColumns count="6">
    <tableColumn id="1" xr3:uid="{58020E33-C666-439C-8DDD-C5A5E3536C30}" uniqueName="1" name="Region" queryTableFieldId="1" dataCellStyle="Normalny 3"/>
    <tableColumn id="2" xr3:uid="{DC6F5990-53E4-4A6E-B687-A9D73B4A477B}" uniqueName="2" name="Product" queryTableFieldId="2" dataCellStyle="Normalny 3"/>
    <tableColumn id="3" xr3:uid="{3C287C41-78E6-4669-8C74-ABD0C5966361}" uniqueName="3" name="Variant" queryTableFieldId="3" dataCellStyle="Normalny 3"/>
    <tableColumn id="4" xr3:uid="{3580F709-29B1-4578-9BCA-CC2ADD92C6EB}" uniqueName="4" name="Total Units" queryTableFieldId="4" dataCellStyle="Normalny 3"/>
    <tableColumn id="5" xr3:uid="{60763B9C-E76E-4C61-9BD9-3721406C87DE}" uniqueName="5" name="Sales" queryTableFieldId="5" dataCellStyle="Normalny 3"/>
    <tableColumn id="6" xr3:uid="{D5DCDD8F-8043-4D1C-93B2-39EF37DD6C5D}" uniqueName="6" name="Profit" queryTableFieldId="6" dataCellStyle="Normalny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0464-C6AD-4DE8-A905-4D0B22CED0FA}">
  <sheetPr>
    <outlinePr summaryBelow="0" summaryRight="0"/>
  </sheetPr>
  <dimension ref="A1:F46"/>
  <sheetViews>
    <sheetView tabSelected="1" topLeftCell="A4" workbookViewId="0">
      <selection activeCell="U12" sqref="U12"/>
    </sheetView>
  </sheetViews>
  <sheetFormatPr defaultColWidth="12.5703125" defaultRowHeight="15.75" customHeight="1"/>
  <cols>
    <col min="1" max="16384" width="12.5703125" style="54"/>
  </cols>
  <sheetData>
    <row r="1" spans="1:6" ht="15.75" customHeight="1">
      <c r="A1" s="52" t="s">
        <v>651</v>
      </c>
      <c r="B1" s="67" t="s">
        <v>27</v>
      </c>
    </row>
    <row r="2" spans="1:6" ht="15.75" customHeight="1">
      <c r="A2" s="55" t="s">
        <v>61</v>
      </c>
      <c r="B2" s="55" t="s">
        <v>126</v>
      </c>
    </row>
    <row r="3" spans="1:6" ht="15.75" customHeight="1">
      <c r="A3" s="55" t="s">
        <v>699</v>
      </c>
      <c r="B3" s="55" t="s">
        <v>700</v>
      </c>
    </row>
    <row r="4" spans="1:6" ht="15.75" customHeight="1">
      <c r="A4" s="55" t="s">
        <v>691</v>
      </c>
      <c r="B4" s="55" t="s">
        <v>701</v>
      </c>
    </row>
    <row r="5" spans="1:6" ht="15.75" customHeight="1">
      <c r="A5" s="55"/>
      <c r="B5" s="55" t="s">
        <v>702</v>
      </c>
    </row>
    <row r="6" spans="1:6" ht="15.75" customHeight="1">
      <c r="A6" s="55"/>
      <c r="B6" s="55" t="s">
        <v>61</v>
      </c>
    </row>
    <row r="7" spans="1:6" ht="15.75" customHeight="1">
      <c r="A7" s="55"/>
      <c r="B7" s="55" t="s">
        <v>702</v>
      </c>
    </row>
    <row r="8" spans="1:6" ht="15.75" customHeight="1">
      <c r="A8" s="55"/>
      <c r="B8" s="55" t="s">
        <v>701</v>
      </c>
    </row>
    <row r="9" spans="1:6" ht="15.75" customHeight="1">
      <c r="A9" s="55"/>
      <c r="B9" s="55" t="s">
        <v>700</v>
      </c>
    </row>
    <row r="10" spans="1:6" ht="15.75" customHeight="1">
      <c r="A10" s="55"/>
      <c r="B10" s="55" t="s">
        <v>126</v>
      </c>
    </row>
    <row r="11" spans="1:6" ht="15.75" customHeight="1">
      <c r="A11" s="55"/>
      <c r="B11" s="55" t="s">
        <v>124</v>
      </c>
    </row>
    <row r="12" spans="1:6" ht="15.75" customHeight="1">
      <c r="A12" s="55"/>
      <c r="B12" s="55" t="s">
        <v>692</v>
      </c>
    </row>
    <row r="13" spans="1:6" ht="15.75" customHeight="1">
      <c r="A13" s="55"/>
      <c r="B13" s="55" t="s">
        <v>693</v>
      </c>
    </row>
    <row r="14" spans="1:6" ht="15.75" customHeight="1">
      <c r="A14" s="55"/>
      <c r="B14" s="55" t="s">
        <v>694</v>
      </c>
      <c r="D14" s="54" t="str" cm="1">
        <f t="array" ref="D14:D46">_xlfn.LET(_xlpm.t, _xlfn.REDUCE("",A2:A4, _xlfn.LAMBDA(_xlpm.st,_xlpm.cu, _xlfn.LET(_xlpm.len, LEN(_xlpm.cu), _xlfn.VSTACK(_xlpm.st, _xlfn.REDUCE("", MID(_xlpm.cu, 1,_xlfn.VSTACK(_xlfn.SEQUENCE(_xlpm.len), _xlfn.SEQUENCE(_xlpm.len - 1,1,_xlpm.len - 1,-1))), _xlfn.LAMBDA(_xlpm.state,_xlpm.curr, _xlfn.VSTACK(_xlpm.state, _xlpm.curr))))))), _xlfn._xlws.FILTER(_xlpm.t, _xlpm.t&lt;&gt;""))</f>
        <v>E</v>
      </c>
      <c r="F14" s="54" t="b" cm="1">
        <f t="array" ref="F14:F46">_xlfn.ANCHORARRAY(D14)=B2:B34</f>
        <v>1</v>
      </c>
    </row>
    <row r="15" spans="1:6" ht="15.75" customHeight="1">
      <c r="A15" s="55"/>
      <c r="B15" s="55" t="s">
        <v>695</v>
      </c>
      <c r="D15" s="54" t="str">
        <v>Ex</v>
      </c>
      <c r="F15" s="54" t="b">
        <v>1</v>
      </c>
    </row>
    <row r="16" spans="1:6" ht="15.75" customHeight="1">
      <c r="A16" s="55"/>
      <c r="B16" s="55" t="s">
        <v>696</v>
      </c>
      <c r="D16" s="54" t="str">
        <v>Exc</v>
      </c>
      <c r="F16" s="54" t="b">
        <v>1</v>
      </c>
    </row>
    <row r="17" spans="1:6" ht="15.75" customHeight="1">
      <c r="A17" s="55"/>
      <c r="B17" s="55" t="s">
        <v>697</v>
      </c>
      <c r="D17" s="54" t="str">
        <v>Exce</v>
      </c>
      <c r="F17" s="54" t="b">
        <v>1</v>
      </c>
    </row>
    <row r="18" spans="1:6" ht="15.75" customHeight="1">
      <c r="A18" s="55"/>
      <c r="B18" s="55" t="s">
        <v>698</v>
      </c>
      <c r="D18" s="54" t="str">
        <v>Excel</v>
      </c>
      <c r="F18" s="54" t="b">
        <v>1</v>
      </c>
    </row>
    <row r="19" spans="1:6" ht="15.75" customHeight="1">
      <c r="A19" s="55"/>
      <c r="B19" s="55" t="s">
        <v>699</v>
      </c>
      <c r="D19" s="54" t="str">
        <v>Exce</v>
      </c>
      <c r="F19" s="54" t="b">
        <v>1</v>
      </c>
    </row>
    <row r="20" spans="1:6" ht="15.75" customHeight="1">
      <c r="A20" s="55"/>
      <c r="B20" s="55" t="s">
        <v>698</v>
      </c>
      <c r="D20" s="54" t="str">
        <v>Exc</v>
      </c>
      <c r="F20" s="54" t="b">
        <v>1</v>
      </c>
    </row>
    <row r="21" spans="1:6" ht="15.75" customHeight="1">
      <c r="A21" s="55"/>
      <c r="B21" s="55" t="s">
        <v>697</v>
      </c>
      <c r="D21" s="54" t="str">
        <v>Ex</v>
      </c>
      <c r="F21" s="54" t="b">
        <v>1</v>
      </c>
    </row>
    <row r="22" spans="1:6" ht="15.75" customHeight="1">
      <c r="A22" s="55"/>
      <c r="B22" s="55" t="s">
        <v>696</v>
      </c>
      <c r="D22" s="54" t="str">
        <v>E</v>
      </c>
      <c r="F22" s="54" t="b">
        <v>1</v>
      </c>
    </row>
    <row r="23" spans="1:6" ht="15.75" customHeight="1">
      <c r="A23" s="55"/>
      <c r="B23" s="55" t="s">
        <v>695</v>
      </c>
      <c r="D23" s="54" t="str">
        <v>C</v>
      </c>
      <c r="F23" s="54" t="b">
        <v>1</v>
      </c>
    </row>
    <row r="24" spans="1:6" ht="15.75" customHeight="1">
      <c r="A24" s="55"/>
      <c r="B24" s="55" t="s">
        <v>694</v>
      </c>
      <c r="D24" s="54" t="str">
        <v>Ch</v>
      </c>
      <c r="F24" s="54" t="b">
        <v>1</v>
      </c>
    </row>
    <row r="25" spans="1:6" ht="15.75" customHeight="1">
      <c r="A25" s="55"/>
      <c r="B25" s="55" t="s">
        <v>693</v>
      </c>
      <c r="D25" s="54" t="str">
        <v>Cha</v>
      </c>
      <c r="F25" s="54" t="b">
        <v>1</v>
      </c>
    </row>
    <row r="26" spans="1:6" ht="15.75" customHeight="1">
      <c r="A26" s="55"/>
      <c r="B26" s="55" t="s">
        <v>692</v>
      </c>
      <c r="D26" s="54" t="str">
        <v>Chal</v>
      </c>
      <c r="F26" s="54" t="b">
        <v>1</v>
      </c>
    </row>
    <row r="27" spans="1:6" ht="15.75" customHeight="1">
      <c r="A27" s="55"/>
      <c r="B27" s="55" t="s">
        <v>124</v>
      </c>
      <c r="D27" s="54" t="str">
        <v>Chall</v>
      </c>
      <c r="F27" s="54" t="b">
        <v>1</v>
      </c>
    </row>
    <row r="28" spans="1:6" ht="15.75" customHeight="1">
      <c r="A28" s="55"/>
      <c r="B28" s="55" t="s">
        <v>125</v>
      </c>
      <c r="D28" s="54" t="str">
        <v>Challe</v>
      </c>
      <c r="F28" s="54" t="b">
        <v>1</v>
      </c>
    </row>
    <row r="29" spans="1:6" ht="15.75" customHeight="1">
      <c r="A29" s="55"/>
      <c r="B29" s="55" t="s">
        <v>689</v>
      </c>
      <c r="D29" s="54" t="str">
        <v>Challen</v>
      </c>
      <c r="F29" s="54" t="b">
        <v>1</v>
      </c>
    </row>
    <row r="30" spans="1:6" ht="15.75" customHeight="1">
      <c r="A30" s="55"/>
      <c r="B30" s="55" t="s">
        <v>690</v>
      </c>
      <c r="D30" s="54" t="str">
        <v>Challeng</v>
      </c>
      <c r="F30" s="54" t="b">
        <v>1</v>
      </c>
    </row>
    <row r="31" spans="1:6" ht="15.75" customHeight="1">
      <c r="A31" s="55"/>
      <c r="B31" s="55" t="s">
        <v>691</v>
      </c>
      <c r="D31" s="54" t="str">
        <v>Challenge</v>
      </c>
      <c r="F31" s="54" t="b">
        <v>1</v>
      </c>
    </row>
    <row r="32" spans="1:6" ht="15.75" customHeight="1">
      <c r="A32" s="55"/>
      <c r="B32" s="55" t="s">
        <v>690</v>
      </c>
      <c r="D32" s="54" t="str">
        <v>Challeng</v>
      </c>
      <c r="F32" s="54" t="b">
        <v>1</v>
      </c>
    </row>
    <row r="33" spans="1:6" ht="15.75" customHeight="1">
      <c r="A33" s="55"/>
      <c r="B33" s="55" t="s">
        <v>689</v>
      </c>
      <c r="D33" s="54" t="str">
        <v>Challen</v>
      </c>
      <c r="F33" s="54" t="b">
        <v>1</v>
      </c>
    </row>
    <row r="34" spans="1:6" ht="15.75" customHeight="1">
      <c r="A34" s="55"/>
      <c r="B34" s="55" t="s">
        <v>125</v>
      </c>
      <c r="D34" s="54" t="str">
        <v>Challe</v>
      </c>
      <c r="F34" s="54" t="b">
        <v>1</v>
      </c>
    </row>
    <row r="35" spans="1:6" ht="15.75" customHeight="1">
      <c r="D35" s="54" t="str">
        <v>Chall</v>
      </c>
      <c r="F35" s="54" t="b">
        <v>1</v>
      </c>
    </row>
    <row r="36" spans="1:6" ht="15.75" customHeight="1">
      <c r="D36" s="54" t="str">
        <v>Chal</v>
      </c>
      <c r="F36" s="54" t="b">
        <v>1</v>
      </c>
    </row>
    <row r="37" spans="1:6" ht="15.75" customHeight="1">
      <c r="D37" s="54" t="str">
        <v>Cha</v>
      </c>
      <c r="F37" s="54" t="b">
        <v>1</v>
      </c>
    </row>
    <row r="38" spans="1:6" ht="15.75" customHeight="1">
      <c r="D38" s="54" t="str">
        <v>Ch</v>
      </c>
      <c r="F38" s="54" t="b">
        <v>1</v>
      </c>
    </row>
    <row r="39" spans="1:6" ht="15.75" customHeight="1">
      <c r="D39" s="54" t="str">
        <v>C</v>
      </c>
      <c r="F39" s="54" t="b">
        <v>1</v>
      </c>
    </row>
    <row r="40" spans="1:6" ht="15.75" customHeight="1">
      <c r="D40" s="54" t="str">
        <v>D</v>
      </c>
      <c r="F40" s="54" t="b">
        <v>1</v>
      </c>
    </row>
    <row r="41" spans="1:6" ht="15.75" customHeight="1">
      <c r="D41" s="54" t="str">
        <v>Da</v>
      </c>
      <c r="F41" s="54" t="b">
        <v>1</v>
      </c>
    </row>
    <row r="42" spans="1:6" ht="15.75" customHeight="1">
      <c r="D42" s="54" t="str">
        <v>Dat</v>
      </c>
      <c r="F42" s="54" t="b">
        <v>1</v>
      </c>
    </row>
    <row r="43" spans="1:6" ht="15.75" customHeight="1">
      <c r="D43" s="54" t="str">
        <v>Data</v>
      </c>
      <c r="F43" s="54" t="b">
        <v>1</v>
      </c>
    </row>
    <row r="44" spans="1:6" ht="15.75" customHeight="1">
      <c r="D44" s="54" t="str">
        <v>Dat</v>
      </c>
      <c r="F44" s="54" t="b">
        <v>1</v>
      </c>
    </row>
    <row r="45" spans="1:6" ht="15.75" customHeight="1">
      <c r="D45" s="54" t="str">
        <v>Da</v>
      </c>
      <c r="F45" s="54" t="b">
        <v>1</v>
      </c>
    </row>
    <row r="46" spans="1:6" ht="15.75" customHeight="1">
      <c r="D46" s="54" t="str">
        <v>D</v>
      </c>
      <c r="F46" s="54" t="b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C3084-440F-4ED9-9C26-36A95C0EF5D3}">
  <sheetPr>
    <outlinePr summaryBelow="0" summaryRight="0"/>
  </sheetPr>
  <dimension ref="A1:D26"/>
  <sheetViews>
    <sheetView workbookViewId="0">
      <selection activeCell="C6" sqref="C6"/>
    </sheetView>
  </sheetViews>
  <sheetFormatPr defaultColWidth="12.5703125" defaultRowHeight="15.75" customHeight="1"/>
  <cols>
    <col min="1" max="16384" width="12.5703125" style="54"/>
  </cols>
  <sheetData>
    <row r="1" spans="1:4" ht="15.75" customHeight="1">
      <c r="A1" s="52" t="s">
        <v>651</v>
      </c>
      <c r="B1" s="67" t="s">
        <v>27</v>
      </c>
    </row>
    <row r="2" spans="1:4" ht="15.75" customHeight="1">
      <c r="A2" s="69" t="s">
        <v>61</v>
      </c>
      <c r="B2" s="69"/>
    </row>
    <row r="3" spans="1:4" ht="15.75" customHeight="1">
      <c r="A3" s="69" t="s">
        <v>699</v>
      </c>
      <c r="B3" s="69"/>
    </row>
    <row r="4" spans="1:4" ht="15.75" customHeight="1">
      <c r="A4" s="69" t="s">
        <v>691</v>
      </c>
      <c r="B4" s="69"/>
    </row>
    <row r="5" spans="1:4" ht="15.75" customHeight="1">
      <c r="A5" s="55"/>
      <c r="B5" s="69"/>
    </row>
    <row r="6" spans="1:4" ht="15.75" customHeight="1">
      <c r="A6" s="55"/>
      <c r="B6" s="69"/>
    </row>
    <row r="7" spans="1:4" ht="15.75" customHeight="1">
      <c r="A7" s="55"/>
      <c r="B7" s="69"/>
    </row>
    <row r="8" spans="1:4" ht="15.75" customHeight="1">
      <c r="A8" s="55"/>
      <c r="B8" s="69"/>
    </row>
    <row r="9" spans="1:4" ht="15.75" customHeight="1">
      <c r="A9" s="55"/>
      <c r="B9" s="69"/>
      <c r="D9" s="54" t="str" cm="1">
        <f t="array" ref="D9:D26">_xlfn.LET(_xlpm.t, _xlfn.REDUCE("",A2:A4, _xlfn.LAMBDA(_xlpm.st,_xlpm.cu, _xlfn.LET(_xlpm.len, LEN(_xlpm.cu), _xlfn.VSTACK(_xlpm.st, _xlfn.REDUCE("", REPT(" ", _xlfn.SEQUENCE(_xlpm.len) - 1) &amp; MID(_xlpm.cu, _xlfn.SEQUENCE(_xlpm.len),1), _xlfn.LAMBDA(_xlpm.state,_xlpm.curr, _xlfn.VSTACK(_xlpm.state, _xlpm.curr))))))), _xlfn._xlws.FILTER(_xlpm.t, _xlpm.t&lt;&gt;""))</f>
        <v>E</v>
      </c>
    </row>
    <row r="10" spans="1:4" ht="15.75" customHeight="1">
      <c r="A10" s="55"/>
      <c r="B10" s="69"/>
      <c r="D10" s="54" t="str">
        <v xml:space="preserve"> x</v>
      </c>
    </row>
    <row r="11" spans="1:4" ht="15.75" customHeight="1">
      <c r="A11" s="55"/>
      <c r="B11" s="69"/>
      <c r="D11" s="54" t="str">
        <v xml:space="preserve">  c</v>
      </c>
    </row>
    <row r="12" spans="1:4" ht="15.75" customHeight="1">
      <c r="A12" s="55"/>
      <c r="B12" s="69"/>
      <c r="D12" s="54" t="str">
        <v xml:space="preserve">   e</v>
      </c>
    </row>
    <row r="13" spans="1:4" ht="15.75" customHeight="1">
      <c r="A13" s="55"/>
      <c r="B13" s="69"/>
      <c r="D13" s="54" t="str">
        <v xml:space="preserve">    l</v>
      </c>
    </row>
    <row r="14" spans="1:4" ht="15.75" customHeight="1">
      <c r="A14" s="55"/>
      <c r="B14" s="69"/>
      <c r="D14" s="54" t="str">
        <v>C</v>
      </c>
    </row>
    <row r="15" spans="1:4" ht="15.75" customHeight="1">
      <c r="A15" s="55"/>
      <c r="B15" s="69"/>
      <c r="D15" s="54" t="str">
        <v xml:space="preserve"> h</v>
      </c>
    </row>
    <row r="16" spans="1:4" ht="15.75" customHeight="1">
      <c r="A16" s="55"/>
      <c r="B16" s="69"/>
      <c r="D16" s="54" t="str">
        <v xml:space="preserve">  a</v>
      </c>
    </row>
    <row r="17" spans="1:4" ht="15.75" customHeight="1">
      <c r="A17" s="55"/>
      <c r="B17" s="69"/>
      <c r="D17" s="54" t="str">
        <v xml:space="preserve">   l</v>
      </c>
    </row>
    <row r="18" spans="1:4" ht="15.75" customHeight="1">
      <c r="A18" s="55"/>
      <c r="B18" s="69"/>
      <c r="D18" s="54" t="str">
        <v xml:space="preserve">    l</v>
      </c>
    </row>
    <row r="19" spans="1:4" ht="15.75" customHeight="1">
      <c r="A19" s="55"/>
      <c r="B19" s="69"/>
      <c r="D19" s="54" t="str">
        <v xml:space="preserve">     e</v>
      </c>
    </row>
    <row r="20" spans="1:4" ht="15.75" customHeight="1">
      <c r="D20" s="54" t="str">
        <v xml:space="preserve">      n</v>
      </c>
    </row>
    <row r="21" spans="1:4" ht="15.75" customHeight="1">
      <c r="D21" s="54" t="str">
        <v xml:space="preserve">       g</v>
      </c>
    </row>
    <row r="22" spans="1:4" ht="15.75" customHeight="1">
      <c r="D22" s="54" t="str">
        <v xml:space="preserve">        e</v>
      </c>
    </row>
    <row r="23" spans="1:4" ht="15.75" customHeight="1">
      <c r="D23" s="54" t="str">
        <v>D</v>
      </c>
    </row>
    <row r="24" spans="1:4" ht="15.75" customHeight="1">
      <c r="D24" s="54" t="str">
        <v xml:space="preserve"> a</v>
      </c>
    </row>
    <row r="25" spans="1:4" ht="15.75" customHeight="1">
      <c r="D25" s="54" t="str">
        <v xml:space="preserve">  t</v>
      </c>
    </row>
    <row r="26" spans="1:4" ht="15.75" customHeight="1">
      <c r="D26" s="54" t="str">
        <v xml:space="preserve">   a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8EF8D-3CE0-4BED-BD13-BB03AA2264DE}">
  <sheetPr>
    <outlinePr summaryBelow="0" summaryRight="0"/>
  </sheetPr>
  <dimension ref="A1:E23"/>
  <sheetViews>
    <sheetView workbookViewId="0">
      <selection activeCell="D10" sqref="D10:D23"/>
    </sheetView>
  </sheetViews>
  <sheetFormatPr defaultColWidth="12.5703125" defaultRowHeight="15.75" customHeight="1"/>
  <cols>
    <col min="1" max="1" width="12.5703125" style="54"/>
    <col min="2" max="2" width="13.7109375" style="54" customWidth="1"/>
    <col min="3" max="16384" width="12.5703125" style="54"/>
  </cols>
  <sheetData>
    <row r="1" spans="1:5" ht="15.75" customHeight="1">
      <c r="A1" s="52" t="s">
        <v>651</v>
      </c>
      <c r="B1" s="67" t="s">
        <v>27</v>
      </c>
    </row>
    <row r="2" spans="1:5" ht="15.75" customHeight="1">
      <c r="A2" s="69" t="s">
        <v>61</v>
      </c>
      <c r="B2" s="69" t="s">
        <v>126</v>
      </c>
    </row>
    <row r="3" spans="1:5" ht="15.75" customHeight="1">
      <c r="A3" s="69" t="s">
        <v>107</v>
      </c>
      <c r="B3" s="69" t="s">
        <v>712</v>
      </c>
    </row>
    <row r="4" spans="1:5" ht="15.75" customHeight="1">
      <c r="A4" s="69" t="s">
        <v>691</v>
      </c>
      <c r="B4" s="69" t="s">
        <v>711</v>
      </c>
    </row>
    <row r="5" spans="1:5" ht="15.75" customHeight="1">
      <c r="B5" s="69" t="s">
        <v>707</v>
      </c>
    </row>
    <row r="6" spans="1:5" ht="15.75" customHeight="1">
      <c r="B6" s="69" t="s">
        <v>710</v>
      </c>
    </row>
    <row r="7" spans="1:5" ht="15.75" customHeight="1">
      <c r="B7" s="69" t="s">
        <v>154</v>
      </c>
    </row>
    <row r="8" spans="1:5" ht="15.75" customHeight="1">
      <c r="B8" s="69" t="s">
        <v>709</v>
      </c>
    </row>
    <row r="9" spans="1:5" ht="15.75" customHeight="1">
      <c r="B9" s="69" t="s">
        <v>708</v>
      </c>
    </row>
    <row r="10" spans="1:5" ht="15.75" customHeight="1">
      <c r="B10" s="69" t="s">
        <v>707</v>
      </c>
      <c r="D10" s="54" t="str" cm="1">
        <f t="array" ref="D10:D23">_xlfn.LET(_xlpm.t, _xlfn.REDUCE("",A2:A4, _xlfn.LAMBDA(_xlpm.st,_xlpm.cu, _xlfn.LET(_xlpm.len, LEN(_xlpm.cu), _xlfn.VSTACK(_xlpm.st, _xlfn.REDUCE("", REPT(MID(_xlpm.cu, _xlfn.SEQUENCE(_xlpm.len),1),_xlfn.SEQUENCE(_xlpm.len)), _xlfn.LAMBDA(_xlpm.state,_xlpm.curr, _xlfn.VSTACK(_xlpm.state, _xlpm.curr))))))), _xlfn._xlws.FILTER(_xlpm.t, _xlpm.t&lt;&gt;""))</f>
        <v>E</v>
      </c>
      <c r="E10" s="54" t="b" cm="1">
        <f t="array" ref="E10:E23">_xlfn.ANCHORARRAY(D10)=B2:B15</f>
        <v>1</v>
      </c>
    </row>
    <row r="11" spans="1:5" ht="15.75" customHeight="1">
      <c r="B11" s="69" t="s">
        <v>706</v>
      </c>
      <c r="D11" s="54" t="str">
        <v>xx</v>
      </c>
      <c r="E11" s="54" t="b">
        <v>1</v>
      </c>
    </row>
    <row r="12" spans="1:5" ht="15.75" customHeight="1">
      <c r="B12" s="69" t="s">
        <v>125</v>
      </c>
      <c r="D12" s="54" t="str">
        <v>ccc</v>
      </c>
      <c r="E12" s="54" t="b">
        <v>1</v>
      </c>
    </row>
    <row r="13" spans="1:5" ht="15.75" customHeight="1">
      <c r="B13" s="69" t="s">
        <v>705</v>
      </c>
      <c r="D13" s="54" t="str">
        <v>eeee</v>
      </c>
      <c r="E13" s="54" t="b">
        <v>1</v>
      </c>
    </row>
    <row r="14" spans="1:5" ht="15.75" customHeight="1">
      <c r="B14" s="69" t="s">
        <v>704</v>
      </c>
      <c r="D14" s="54" t="str">
        <v>lllll</v>
      </c>
      <c r="E14" s="54" t="b">
        <v>1</v>
      </c>
    </row>
    <row r="15" spans="1:5" ht="15.75" customHeight="1">
      <c r="B15" s="69" t="s">
        <v>703</v>
      </c>
      <c r="D15" s="54" t="str">
        <v>P</v>
      </c>
      <c r="E15" s="54" t="b">
        <v>1</v>
      </c>
    </row>
    <row r="16" spans="1:5" ht="15.75" customHeight="1">
      <c r="D16" s="54" t="str">
        <v>oo</v>
      </c>
      <c r="E16" s="54" t="b">
        <v>1</v>
      </c>
    </row>
    <row r="17" spans="4:5" ht="15.75" customHeight="1">
      <c r="D17" s="54" t="str">
        <v>www</v>
      </c>
      <c r="E17" s="54" t="b">
        <v>1</v>
      </c>
    </row>
    <row r="18" spans="4:5" ht="15.75" customHeight="1">
      <c r="D18" s="54" t="str">
        <v>eeee</v>
      </c>
      <c r="E18" s="54" t="b">
        <v>1</v>
      </c>
    </row>
    <row r="19" spans="4:5" ht="15.75" customHeight="1">
      <c r="D19" s="54" t="str">
        <v>rrrrr</v>
      </c>
      <c r="E19" s="54" t="b">
        <v>1</v>
      </c>
    </row>
    <row r="20" spans="4:5" ht="15.75" customHeight="1">
      <c r="D20" s="54" t="str">
        <v>D</v>
      </c>
      <c r="E20" s="54" t="b">
        <v>1</v>
      </c>
    </row>
    <row r="21" spans="4:5" ht="15.75" customHeight="1">
      <c r="D21" s="54" t="str">
        <v>aa</v>
      </c>
      <c r="E21" s="54" t="b">
        <v>1</v>
      </c>
    </row>
    <row r="22" spans="4:5" ht="15.75" customHeight="1">
      <c r="D22" s="54" t="str">
        <v>ttt</v>
      </c>
      <c r="E22" s="54" t="b">
        <v>1</v>
      </c>
    </row>
    <row r="23" spans="4:5" ht="15.75" customHeight="1">
      <c r="D23" s="54" t="str">
        <v>aaaa</v>
      </c>
      <c r="E23" s="54" t="b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4588D-8FE0-45DF-8A1C-92B0A261304A}">
  <sheetPr>
    <outlinePr summaryBelow="0" summaryRight="0"/>
  </sheetPr>
  <dimension ref="A1:F25"/>
  <sheetViews>
    <sheetView workbookViewId="0">
      <selection activeCell="D12" sqref="D12"/>
    </sheetView>
  </sheetViews>
  <sheetFormatPr defaultColWidth="12.5703125" defaultRowHeight="15.75" customHeight="1"/>
  <cols>
    <col min="1" max="16384" width="12.5703125" style="54"/>
  </cols>
  <sheetData>
    <row r="1" spans="1:6" ht="15.75" customHeight="1">
      <c r="A1" s="52" t="s">
        <v>651</v>
      </c>
      <c r="B1" s="67" t="s">
        <v>27</v>
      </c>
    </row>
    <row r="2" spans="1:6" ht="15.75" customHeight="1">
      <c r="A2" s="69" t="s">
        <v>61</v>
      </c>
      <c r="B2" s="69" t="s">
        <v>126</v>
      </c>
    </row>
    <row r="3" spans="1:6" ht="15.75" customHeight="1">
      <c r="A3" s="69" t="s">
        <v>107</v>
      </c>
      <c r="B3" s="69" t="s">
        <v>154</v>
      </c>
    </row>
    <row r="4" spans="1:6" ht="15.75" customHeight="1">
      <c r="A4" s="69" t="s">
        <v>691</v>
      </c>
      <c r="B4" s="69" t="s">
        <v>125</v>
      </c>
    </row>
    <row r="5" spans="1:6" ht="15.75" customHeight="1">
      <c r="A5" s="55"/>
      <c r="B5" s="69" t="s">
        <v>700</v>
      </c>
    </row>
    <row r="6" spans="1:6" ht="15.75" customHeight="1">
      <c r="A6" s="55"/>
      <c r="B6" s="69" t="s">
        <v>715</v>
      </c>
    </row>
    <row r="7" spans="1:6" ht="15.75" customHeight="1">
      <c r="A7" s="55"/>
      <c r="B7" s="69" t="s">
        <v>689</v>
      </c>
    </row>
    <row r="8" spans="1:6" ht="15.75" customHeight="1">
      <c r="A8" s="55"/>
      <c r="B8" s="69" t="s">
        <v>701</v>
      </c>
    </row>
    <row r="9" spans="1:6" ht="15.75" customHeight="1">
      <c r="A9" s="55"/>
      <c r="B9" s="69" t="s">
        <v>714</v>
      </c>
    </row>
    <row r="10" spans="1:6" ht="15.75" customHeight="1">
      <c r="A10" s="55"/>
      <c r="B10" s="69" t="s">
        <v>690</v>
      </c>
    </row>
    <row r="11" spans="1:6" ht="15.75" customHeight="1">
      <c r="A11" s="55"/>
      <c r="B11" s="69" t="s">
        <v>702</v>
      </c>
    </row>
    <row r="12" spans="1:6" ht="15.75" customHeight="1">
      <c r="A12" s="55"/>
      <c r="B12" s="69" t="s">
        <v>713</v>
      </c>
      <c r="D12" s="54" t="str" cm="1">
        <f t="array" ref="D12:D25">_xlfn.LET(_xlpm.x, _xlfn.DROP(_xlfn.REDUCE("", tbl_108[Text], _xlfn.LAMBDA(_xlpm.state,_xlpm.curr, _xlfn.VSTACK(_xlpm.state, MID(_xlpm.curr, 1, _xlfn.SEQUENCE(LEN(_xlpm.curr)))))),1), _xlfn.SORTBY(_xlpm.x, LEN(_xlpm.x),1))</f>
        <v>E</v>
      </c>
      <c r="F12" s="54" t="b" cm="1">
        <f t="array" ref="F12:F25">_xlfn.ANCHORARRAY(D12)=B2:B15</f>
        <v>1</v>
      </c>
    </row>
    <row r="13" spans="1:6" ht="15.75" customHeight="1">
      <c r="A13" s="55"/>
      <c r="B13" s="69" t="s">
        <v>691</v>
      </c>
      <c r="D13" s="54" t="str">
        <v>P</v>
      </c>
      <c r="F13" s="54" t="b">
        <v>1</v>
      </c>
    </row>
    <row r="14" spans="1:6" ht="15.75" customHeight="1">
      <c r="A14" s="55"/>
      <c r="B14" s="69" t="s">
        <v>61</v>
      </c>
      <c r="D14" s="54" t="str">
        <v>D</v>
      </c>
      <c r="F14" s="54" t="b">
        <v>1</v>
      </c>
    </row>
    <row r="15" spans="1:6" ht="15.75" customHeight="1">
      <c r="A15" s="55"/>
      <c r="B15" s="69" t="s">
        <v>107</v>
      </c>
      <c r="D15" s="54" t="str">
        <v>Ex</v>
      </c>
      <c r="F15" s="54" t="b">
        <v>1</v>
      </c>
    </row>
    <row r="16" spans="1:6" ht="15.75" customHeight="1">
      <c r="A16" s="55"/>
      <c r="B16" s="55"/>
      <c r="D16" s="54" t="str">
        <v>Po</v>
      </c>
      <c r="F16" s="54" t="b">
        <v>1</v>
      </c>
    </row>
    <row r="17" spans="4:6" ht="15.75" customHeight="1">
      <c r="D17" s="54" t="str">
        <v>Da</v>
      </c>
      <c r="F17" s="54" t="b">
        <v>1</v>
      </c>
    </row>
    <row r="18" spans="4:6" ht="15.75" customHeight="1">
      <c r="D18" s="54" t="str">
        <v>Exc</v>
      </c>
      <c r="F18" s="54" t="b">
        <v>1</v>
      </c>
    </row>
    <row r="19" spans="4:6" ht="15.75" customHeight="1">
      <c r="D19" s="54" t="str">
        <v>Pow</v>
      </c>
      <c r="F19" s="54" t="b">
        <v>1</v>
      </c>
    </row>
    <row r="20" spans="4:6" ht="15.75" customHeight="1">
      <c r="D20" s="54" t="str">
        <v>Dat</v>
      </c>
      <c r="F20" s="54" t="b">
        <v>1</v>
      </c>
    </row>
    <row r="21" spans="4:6" ht="15.75" customHeight="1">
      <c r="D21" s="54" t="str">
        <v>Exce</v>
      </c>
      <c r="F21" s="54" t="b">
        <v>1</v>
      </c>
    </row>
    <row r="22" spans="4:6" ht="15.75" customHeight="1">
      <c r="D22" s="54" t="str">
        <v>Powe</v>
      </c>
      <c r="F22" s="54" t="b">
        <v>1</v>
      </c>
    </row>
    <row r="23" spans="4:6" ht="15.75" customHeight="1">
      <c r="D23" s="54" t="str">
        <v>Data</v>
      </c>
      <c r="F23" s="54" t="b">
        <v>1</v>
      </c>
    </row>
    <row r="24" spans="4:6" ht="15.75" customHeight="1">
      <c r="D24" s="54" t="str">
        <v>Excel</v>
      </c>
      <c r="F24" s="54" t="b">
        <v>1</v>
      </c>
    </row>
    <row r="25" spans="4:6" ht="15.75" customHeight="1">
      <c r="D25" s="54" t="str">
        <v>Power</v>
      </c>
      <c r="F25" s="54" t="b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91272-D839-495B-8642-19AAE41D7A37}">
  <sheetPr>
    <outlinePr summaryBelow="0" summaryRight="0"/>
  </sheetPr>
  <dimension ref="A1:K15"/>
  <sheetViews>
    <sheetView workbookViewId="0">
      <selection activeCell="I3" sqref="I3"/>
    </sheetView>
  </sheetViews>
  <sheetFormatPr defaultColWidth="12.5703125" defaultRowHeight="15.75" customHeight="1"/>
  <cols>
    <col min="1" max="1" width="12.5703125" style="54"/>
    <col min="2" max="2" width="14.28515625" style="54" customWidth="1"/>
    <col min="3" max="16384" width="12.5703125" style="54"/>
  </cols>
  <sheetData>
    <row r="1" spans="1:11" ht="15.75" customHeight="1">
      <c r="A1" s="52" t="s">
        <v>651</v>
      </c>
      <c r="B1" s="67" t="s">
        <v>716</v>
      </c>
    </row>
    <row r="2" spans="1:11" ht="15.75" customHeight="1">
      <c r="A2" s="69" t="s">
        <v>61</v>
      </c>
      <c r="B2" s="69" t="s">
        <v>126</v>
      </c>
      <c r="I2" s="54" t="str" cm="1">
        <f t="array" ref="I2:I15">_xlfn.DROP(_xlfn.REDUCE("", tbl_107[Text], _xlfn.LAMBDA(_xlpm.state,_xlpm.curr, _xlfn.VSTACK(_xlpm.state, MID(_xlpm.curr, 1, _xlfn.SEQUENCE(LEN(_xlpm.curr)))))),1)</f>
        <v>E</v>
      </c>
      <c r="K2" s="54" t="b" cm="1">
        <f t="array" ref="K2:K15">_xlfn.ANCHORARRAY(I2)=B2:B15</f>
        <v>1</v>
      </c>
    </row>
    <row r="3" spans="1:11" ht="15.75" customHeight="1">
      <c r="A3" s="69" t="s">
        <v>107</v>
      </c>
      <c r="B3" s="69" t="s">
        <v>700</v>
      </c>
      <c r="I3" s="54" t="str">
        <v>Ex</v>
      </c>
      <c r="K3" s="54" t="b">
        <v>1</v>
      </c>
    </row>
    <row r="4" spans="1:11" ht="15.75" customHeight="1">
      <c r="A4" s="69" t="s">
        <v>691</v>
      </c>
      <c r="B4" s="69" t="s">
        <v>701</v>
      </c>
      <c r="I4" s="54" t="str">
        <v>Exc</v>
      </c>
      <c r="K4" s="54" t="b">
        <v>1</v>
      </c>
    </row>
    <row r="5" spans="1:11" ht="15.75" customHeight="1">
      <c r="A5" s="55"/>
      <c r="B5" s="69" t="s">
        <v>702</v>
      </c>
      <c r="I5" s="54" t="str">
        <v>Exce</v>
      </c>
      <c r="K5" s="54" t="b">
        <v>1</v>
      </c>
    </row>
    <row r="6" spans="1:11" ht="15.75" customHeight="1">
      <c r="A6" s="55"/>
      <c r="B6" s="69" t="s">
        <v>61</v>
      </c>
      <c r="I6" s="54" t="str">
        <v>Excel</v>
      </c>
      <c r="K6" s="54" t="b">
        <v>1</v>
      </c>
    </row>
    <row r="7" spans="1:11" ht="15.75" customHeight="1">
      <c r="A7" s="55"/>
      <c r="B7" s="69" t="s">
        <v>154</v>
      </c>
      <c r="I7" s="54" t="str">
        <v>P</v>
      </c>
      <c r="K7" s="54" t="b">
        <v>1</v>
      </c>
    </row>
    <row r="8" spans="1:11" ht="15.75" customHeight="1">
      <c r="A8" s="55"/>
      <c r="B8" s="69" t="s">
        <v>715</v>
      </c>
      <c r="I8" s="54" t="str">
        <v>Po</v>
      </c>
      <c r="K8" s="54" t="b">
        <v>1</v>
      </c>
    </row>
    <row r="9" spans="1:11" ht="15.75" customHeight="1">
      <c r="A9" s="55"/>
      <c r="B9" s="69" t="s">
        <v>714</v>
      </c>
      <c r="I9" s="54" t="str">
        <v>Pow</v>
      </c>
      <c r="K9" s="54" t="b">
        <v>1</v>
      </c>
    </row>
    <row r="10" spans="1:11" ht="15.75" customHeight="1">
      <c r="A10" s="55"/>
      <c r="B10" s="69" t="s">
        <v>713</v>
      </c>
      <c r="I10" s="54" t="str">
        <v>Powe</v>
      </c>
      <c r="K10" s="54" t="b">
        <v>1</v>
      </c>
    </row>
    <row r="11" spans="1:11" ht="15.75" customHeight="1">
      <c r="A11" s="55"/>
      <c r="B11" s="69" t="s">
        <v>107</v>
      </c>
      <c r="I11" s="54" t="str">
        <v>Power</v>
      </c>
      <c r="K11" s="54" t="b">
        <v>1</v>
      </c>
    </row>
    <row r="12" spans="1:11" ht="15.75" customHeight="1">
      <c r="A12" s="55"/>
      <c r="B12" s="69" t="s">
        <v>125</v>
      </c>
      <c r="I12" s="54" t="str">
        <v>D</v>
      </c>
      <c r="K12" s="54" t="b">
        <v>1</v>
      </c>
    </row>
    <row r="13" spans="1:11" ht="15.75" customHeight="1">
      <c r="A13" s="55"/>
      <c r="B13" s="69" t="s">
        <v>689</v>
      </c>
      <c r="I13" s="54" t="str">
        <v>Da</v>
      </c>
      <c r="K13" s="54" t="b">
        <v>1</v>
      </c>
    </row>
    <row r="14" spans="1:11" ht="15.75" customHeight="1">
      <c r="A14" s="55"/>
      <c r="B14" s="69" t="s">
        <v>690</v>
      </c>
      <c r="I14" s="54" t="str">
        <v>Dat</v>
      </c>
      <c r="K14" s="54" t="b">
        <v>1</v>
      </c>
    </row>
    <row r="15" spans="1:11" ht="15.75" customHeight="1">
      <c r="A15" s="55"/>
      <c r="B15" s="69" t="s">
        <v>691</v>
      </c>
      <c r="I15" s="54" t="str">
        <v>Data</v>
      </c>
      <c r="K15" s="54" t="b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3C64A-98CA-4085-AEC3-88F59366CFE2}">
  <sheetPr>
    <outlinePr summaryBelow="0" summaryRight="0"/>
  </sheetPr>
  <dimension ref="A1:N6"/>
  <sheetViews>
    <sheetView workbookViewId="0">
      <selection activeCell="H16" sqref="H16"/>
    </sheetView>
  </sheetViews>
  <sheetFormatPr defaultColWidth="12.5703125" defaultRowHeight="15.75" customHeight="1"/>
  <cols>
    <col min="1" max="7" width="12.5703125" style="54"/>
    <col min="8" max="8" width="11.28515625" style="54" bestFit="1" customWidth="1"/>
    <col min="9" max="16384" width="12.5703125" style="54"/>
  </cols>
  <sheetData>
    <row r="1" spans="1:14" ht="15.75" customHeight="1">
      <c r="A1" s="52" t="s">
        <v>651</v>
      </c>
      <c r="B1" s="67" t="s">
        <v>27</v>
      </c>
    </row>
    <row r="2" spans="1:14" ht="15">
      <c r="A2" s="55" t="s">
        <v>61</v>
      </c>
      <c r="B2" s="55" t="s">
        <v>688</v>
      </c>
      <c r="D2" s="54" t="str" cm="1">
        <f t="array" ref="D2:D5">_xlfn.MAP(A2:A5, _xlfn.LAMBDA(_xlpm.t, _xlfn.REDUCE("",MID(_xlpm.t, _xlfn.SEQUENCE(LEN(_xlpm.t)),1),_xlfn.LAMBDA(_xlpm.state,_xlpm.curr, _xlpm.state &amp; REPT(_xlpm.curr, 2)))))</f>
        <v>EExxcceell</v>
      </c>
      <c r="F2" s="54" t="b" cm="1">
        <f t="array" ref="F2:F5">_xlfn.ANCHORARRAY(D2)=B2:B5</f>
        <v>1</v>
      </c>
      <c r="H2" s="54" t="s">
        <v>651</v>
      </c>
      <c r="J2" s="54" t="b" cm="1">
        <f t="array" ref="J2:J5">tblSolution106[Text]=B2:B5</f>
        <v>1</v>
      </c>
      <c r="L2" s="54" t="str" cm="1">
        <f t="array" ref="L2:L6">_xlfn._xlws.PY(0,0,A1:A5)</f>
        <v>Output</v>
      </c>
      <c r="N2" s="54" t="b" cm="1">
        <f t="array" ref="N2:N6">_xlfn.ANCHORARRAY(L2)=B1:B5</f>
        <v>1</v>
      </c>
    </row>
    <row r="3" spans="1:14" ht="15">
      <c r="A3" s="55" t="s">
        <v>687</v>
      </c>
      <c r="B3" s="55" t="s">
        <v>686</v>
      </c>
      <c r="D3" s="54" t="str">
        <v>AABBCC</v>
      </c>
      <c r="F3" s="54" t="b">
        <v>1</v>
      </c>
      <c r="H3" t="s">
        <v>688</v>
      </c>
      <c r="J3" s="54" t="b">
        <v>1</v>
      </c>
      <c r="L3" s="54" t="str">
        <v>EExxcceell</v>
      </c>
      <c r="N3" s="54" t="b">
        <v>1</v>
      </c>
    </row>
    <row r="4" spans="1:14" ht="15">
      <c r="A4" s="55" t="s">
        <v>685</v>
      </c>
      <c r="B4" s="55" t="s">
        <v>684</v>
      </c>
      <c r="D4" s="54" t="str">
        <v>HHii!!</v>
      </c>
      <c r="F4" s="54" t="b">
        <v>1</v>
      </c>
      <c r="H4" t="s">
        <v>686</v>
      </c>
      <c r="J4" s="54" t="b">
        <v>1</v>
      </c>
      <c r="L4" s="54" t="str">
        <v>AABBCC</v>
      </c>
      <c r="N4" s="54" t="b">
        <v>1</v>
      </c>
    </row>
    <row r="5" spans="1:14" ht="15">
      <c r="A5" s="55" t="s">
        <v>107</v>
      </c>
      <c r="B5" s="55" t="s">
        <v>683</v>
      </c>
      <c r="D5" s="54" t="str">
        <v>PPoowweerr</v>
      </c>
      <c r="F5" s="54" t="b">
        <v>1</v>
      </c>
      <c r="H5" t="s">
        <v>684</v>
      </c>
      <c r="J5" s="54" t="b">
        <v>1</v>
      </c>
      <c r="L5" s="54" t="str">
        <v>HHii!!</v>
      </c>
      <c r="N5" s="54" t="b">
        <v>1</v>
      </c>
    </row>
    <row r="6" spans="1:14" ht="12.75">
      <c r="H6" t="s">
        <v>683</v>
      </c>
      <c r="L6" s="54" t="str">
        <v>PPoowweerr</v>
      </c>
      <c r="N6" s="54" t="b">
        <v>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036E4-F54D-4070-9EDD-C3F0E6D6A7A0}">
  <sheetPr>
    <outlinePr summaryBelow="0" summaryRight="0"/>
  </sheetPr>
  <dimension ref="A1:H18"/>
  <sheetViews>
    <sheetView workbookViewId="0">
      <selection activeCell="B11" sqref="B11"/>
    </sheetView>
  </sheetViews>
  <sheetFormatPr defaultColWidth="12.5703125" defaultRowHeight="15.75" customHeight="1"/>
  <cols>
    <col min="1" max="1" width="22" customWidth="1"/>
    <col min="2" max="2" width="39.85546875" customWidth="1"/>
    <col min="3" max="5" width="13.42578125" customWidth="1"/>
    <col min="6" max="6" width="9.42578125" bestFit="1" customWidth="1"/>
    <col min="7" max="7" width="11" customWidth="1"/>
    <col min="8" max="8" width="10.140625" bestFit="1" customWidth="1"/>
    <col min="9" max="9" width="13.42578125" customWidth="1"/>
  </cols>
  <sheetData>
    <row r="1" spans="1:8" ht="15.75" customHeight="1" thickBot="1">
      <c r="A1" s="92" t="s">
        <v>651</v>
      </c>
      <c r="B1" s="50" t="s">
        <v>672</v>
      </c>
      <c r="C1" s="50" t="s">
        <v>673</v>
      </c>
      <c r="D1" s="50" t="s">
        <v>674</v>
      </c>
    </row>
    <row r="2" spans="1:8" ht="15.75" customHeight="1" thickBot="1">
      <c r="A2" s="91" t="s">
        <v>675</v>
      </c>
      <c r="B2" s="51" t="s">
        <v>61</v>
      </c>
      <c r="C2" s="82">
        <v>2025</v>
      </c>
      <c r="D2" s="51" t="s">
        <v>676</v>
      </c>
    </row>
    <row r="3" spans="1:8" ht="15.75" customHeight="1" thickBot="1">
      <c r="A3" s="91" t="s">
        <v>677</v>
      </c>
      <c r="B3" s="51" t="s">
        <v>678</v>
      </c>
      <c r="C3" s="82">
        <v>12</v>
      </c>
      <c r="D3" s="51" t="s">
        <v>679</v>
      </c>
    </row>
    <row r="4" spans="1:8" ht="15.75" customHeight="1" thickBot="1">
      <c r="A4" s="93" t="s">
        <v>680</v>
      </c>
      <c r="B4" s="51" t="s">
        <v>681</v>
      </c>
      <c r="C4" s="82">
        <v>0</v>
      </c>
      <c r="D4" s="51" t="s">
        <v>682</v>
      </c>
    </row>
    <row r="8" spans="1:8" ht="12.75">
      <c r="B8" t="str" cm="1">
        <f t="array" ref="B8:D11">_xlfn.LET(
_xlpm.data, A2:A4,
_xlpm.letters, _xlfn.MAP(_xlpm.data, _xlfn.LAMBDA(_xlpm.x, _xlfn.CONCAT(_xlfn.REGEXEXTRACT(_xlpm.x, "[a-zA-Z]+",1)))),
_xlpm.digits, --_xlfn.MAP(_xlpm.data, _xlfn.LAMBDA(_xlpm.x, _xlfn.CONCAT(_xlfn.REGEXEXTRACT(_xlpm.x, "[0-9]+",1)))),
_xlpm.special, _xlfn.MAP(_xlpm.data, _xlfn.LAMBDA(_xlpm.x, _xlfn.CONCAT(_xlfn.REGEXEXTRACT(_xlpm.x, "[^a-zA-Z0-9]+",1)))),
_xlpm.res, _xlfn.VSTACK({"Letters","Digits","Special"}, _xlfn.HSTACK(_xlpm.letters, _xlpm.digits, _xlpm.special)),
_xlpm.res)</f>
        <v>Letters</v>
      </c>
      <c r="C8" t="str">
        <v>Digits</v>
      </c>
      <c r="D8" t="str">
        <v>Special</v>
      </c>
      <c r="F8" t="s">
        <v>672</v>
      </c>
      <c r="G8" t="s">
        <v>673</v>
      </c>
      <c r="H8" t="s">
        <v>674</v>
      </c>
    </row>
    <row r="9" spans="1:8" ht="12.75">
      <c r="B9" t="str">
        <v>Excel</v>
      </c>
      <c r="C9">
        <v>2025</v>
      </c>
      <c r="D9" t="str">
        <v>!</v>
      </c>
      <c r="F9" t="s">
        <v>61</v>
      </c>
      <c r="G9">
        <v>2025</v>
      </c>
      <c r="H9" t="s">
        <v>676</v>
      </c>
    </row>
    <row r="10" spans="1:8" ht="12.75">
      <c r="B10" t="str">
        <v>AB</v>
      </c>
      <c r="C10">
        <v>12</v>
      </c>
      <c r="D10" t="str">
        <v>#$</v>
      </c>
      <c r="F10" t="s">
        <v>678</v>
      </c>
      <c r="G10">
        <v>12</v>
      </c>
      <c r="H10" t="s">
        <v>679</v>
      </c>
    </row>
    <row r="11" spans="1:8" ht="12.75">
      <c r="B11" t="str">
        <v>Pawrd</v>
      </c>
      <c r="C11">
        <v>0</v>
      </c>
      <c r="D11" t="str">
        <v>$$!</v>
      </c>
      <c r="F11" t="s">
        <v>681</v>
      </c>
      <c r="G11">
        <v>0</v>
      </c>
      <c r="H11" t="s">
        <v>682</v>
      </c>
    </row>
    <row r="15" spans="1:8" ht="15.75" customHeight="1">
      <c r="B15" t="b" cm="1">
        <f t="array" ref="B15:D18">_xlfn.ANCHORARRAY(B8)=B1:D4</f>
        <v>1</v>
      </c>
      <c r="C15" t="b">
        <v>1</v>
      </c>
      <c r="D15" t="b">
        <v>1</v>
      </c>
      <c r="F15" t="b" cm="1">
        <f t="array" ref="F15:H18">tblSolution105[#All]=B1:D4</f>
        <v>1</v>
      </c>
      <c r="G15" t="b">
        <v>1</v>
      </c>
      <c r="H15" t="b">
        <v>1</v>
      </c>
    </row>
    <row r="16" spans="1:8" ht="15.75" customHeight="1">
      <c r="B16" t="b">
        <v>1</v>
      </c>
      <c r="C16" t="b">
        <v>1</v>
      </c>
      <c r="D16" t="b">
        <v>1</v>
      </c>
      <c r="F16" t="b">
        <v>1</v>
      </c>
      <c r="G16" t="b">
        <v>1</v>
      </c>
      <c r="H16" t="b">
        <v>1</v>
      </c>
    </row>
    <row r="17" spans="2:8" ht="15.75" customHeight="1">
      <c r="B17" t="b">
        <v>1</v>
      </c>
      <c r="C17" t="b">
        <v>1</v>
      </c>
      <c r="D17" t="b">
        <v>1</v>
      </c>
      <c r="F17" t="b">
        <v>1</v>
      </c>
      <c r="G17" t="b">
        <v>1</v>
      </c>
      <c r="H17" t="b">
        <v>1</v>
      </c>
    </row>
    <row r="18" spans="2:8" ht="15.75" customHeight="1">
      <c r="B18" t="b">
        <v>1</v>
      </c>
      <c r="C18" t="b">
        <v>1</v>
      </c>
      <c r="D18" t="b">
        <v>1</v>
      </c>
      <c r="F18" t="b">
        <v>1</v>
      </c>
      <c r="G18" t="b">
        <v>1</v>
      </c>
      <c r="H18" t="b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6406A-74BA-4071-8BDB-92C7F5D47DE6}">
  <sheetPr>
    <outlinePr summaryBelow="0" summaryRight="0"/>
  </sheetPr>
  <dimension ref="A1:F5"/>
  <sheetViews>
    <sheetView workbookViewId="0">
      <selection activeCell="C17" sqref="C17"/>
    </sheetView>
  </sheetViews>
  <sheetFormatPr defaultColWidth="12.5703125" defaultRowHeight="15.75" customHeight="1"/>
  <cols>
    <col min="1" max="2" width="27.42578125" customWidth="1"/>
    <col min="3" max="3" width="13.42578125" customWidth="1"/>
    <col min="4" max="4" width="16.7109375" bestFit="1" customWidth="1"/>
    <col min="5" max="9" width="13.42578125" customWidth="1"/>
  </cols>
  <sheetData>
    <row r="1" spans="1:6" ht="15.75" customHeight="1" thickBot="1">
      <c r="A1" s="49" t="s">
        <v>651</v>
      </c>
      <c r="B1" s="88" t="s">
        <v>27</v>
      </c>
    </row>
    <row r="2" spans="1:6" ht="15.75" customHeight="1" thickBot="1">
      <c r="A2" s="51" t="s">
        <v>61</v>
      </c>
      <c r="B2" s="51" t="s">
        <v>666</v>
      </c>
      <c r="D2" t="str" cm="1">
        <f t="array" ref="D2:D5">_xlfn.LET(
_xlpm.data, LOWER(A2:A5),
_xlpm.map, _xlfn.MAP(_xlpm.data, _xlfn.LAMBDA(_xlpm.t, _xlfn.TEXTJOIN(", ", 1,_xlfn.UNIQUE(MID(_xlpm.t, _xlfn.SEQUENCE(LEN(_xlpm.t)),1))))),
_xlpm.map)</f>
        <v>e, x, c, l</v>
      </c>
      <c r="F2" t="b" cm="1">
        <f t="array" ref="F2:F5">_xlfn.ANCHORARRAY(D2)=B2:B5</f>
        <v>1</v>
      </c>
    </row>
    <row r="3" spans="1:6" ht="15.75" customHeight="1" thickBot="1">
      <c r="A3" s="51" t="s">
        <v>667</v>
      </c>
      <c r="B3" s="51" t="s">
        <v>668</v>
      </c>
      <c r="D3" t="str">
        <v>a, m, z, i, n, g</v>
      </c>
      <c r="F3" t="b">
        <v>1</v>
      </c>
    </row>
    <row r="4" spans="1:6" ht="15.75" customHeight="1" thickBot="1">
      <c r="A4" s="51" t="s">
        <v>662</v>
      </c>
      <c r="B4" s="51" t="s">
        <v>669</v>
      </c>
      <c r="D4" t="str">
        <v>m, i, s, p</v>
      </c>
      <c r="F4" t="b">
        <v>1</v>
      </c>
    </row>
    <row r="5" spans="1:6" ht="15.75" customHeight="1" thickBot="1">
      <c r="A5" s="51" t="s">
        <v>670</v>
      </c>
      <c r="B5" s="51" t="s">
        <v>671</v>
      </c>
      <c r="D5" t="str">
        <v>p, r, o, g, a, m, i, n</v>
      </c>
      <c r="F5" t="b">
        <v>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16407-417F-4045-8141-A389A878EE93}">
  <sheetPr>
    <outlinePr summaryBelow="0" summaryRight="0"/>
  </sheetPr>
  <dimension ref="A1:B15"/>
  <sheetViews>
    <sheetView workbookViewId="0">
      <selection activeCell="A12" sqref="A12"/>
    </sheetView>
  </sheetViews>
  <sheetFormatPr defaultColWidth="12.5703125" defaultRowHeight="15.75" customHeight="1"/>
  <cols>
    <col min="1" max="1" width="47" customWidth="1"/>
    <col min="2" max="2" width="39.85546875" customWidth="1"/>
    <col min="3" max="9" width="13.42578125" customWidth="1"/>
  </cols>
  <sheetData>
    <row r="1" spans="1:2" ht="15.75" customHeight="1" thickBot="1">
      <c r="A1" s="49" t="s">
        <v>651</v>
      </c>
      <c r="B1" s="88" t="s">
        <v>27</v>
      </c>
    </row>
    <row r="2" spans="1:2" ht="15.75" customHeight="1" thickBot="1">
      <c r="A2" s="51" t="s">
        <v>659</v>
      </c>
      <c r="B2" s="51" t="s">
        <v>660</v>
      </c>
    </row>
    <row r="3" spans="1:2" ht="15.75" customHeight="1" thickBot="1">
      <c r="A3" s="51" t="s">
        <v>72</v>
      </c>
      <c r="B3" s="51" t="s">
        <v>661</v>
      </c>
    </row>
    <row r="4" spans="1:2" ht="15.75" customHeight="1" thickBot="1">
      <c r="A4" s="51" t="s">
        <v>662</v>
      </c>
      <c r="B4" s="51" t="s">
        <v>663</v>
      </c>
    </row>
    <row r="5" spans="1:2" ht="15.75" customHeight="1" thickBot="1">
      <c r="A5" s="51" t="s">
        <v>664</v>
      </c>
      <c r="B5" s="51" t="s">
        <v>665</v>
      </c>
    </row>
    <row r="12" spans="1:2" ht="15.75" customHeight="1">
      <c r="A12" t="str" cm="1">
        <f t="array" ref="A12:A15">_xlfn.LET(
_xlpm.data, A2:A5,
_xlpm.lower, LOWER(_xlpm.data),
_xlpm.map, _xlfn.MAP(_xlpm.lower, _xlfn.LAMBDA(_xlpm.t, _xlfn.LET(_xlpm.split, MID(_xlpm.t, _xlfn.SEQUENCE(LEN(_xlpm.t) - 1),2), _xlpm.unq, _xlfn.UNIQUE(_xlpm.split), _xlpm.cnt, _xlfn.MAP(_xlpm.unq, _xlfn.LAMBDA(_xlpm.u, SUM(--(_xlpm.u = _xlpm.split)))), _xlpm.comb, _xlfn._xlws.FILTER(_xlpm.unq &amp; " (" &amp; _xlpm.cnt &amp;")", _xlpm.cnt &gt;1), _xlpm.res, _xlfn.TEXTJOIN("", 1, _xlpm.comb), _xlpm.res))),
_xlpm.map)</f>
        <v>ex (2)xc (2)ce (2)el (2)</v>
      </c>
      <c r="B12" t="b" cm="1">
        <f t="array" ref="B12:B15">_xlfn.ANCHORARRAY(A12)=B2:B5</f>
        <v>1</v>
      </c>
    </row>
    <row r="13" spans="1:2" ht="15.75" customHeight="1">
      <c r="A13" t="str">
        <v>an (2)na (2)</v>
      </c>
      <c r="B13" t="b">
        <v>1</v>
      </c>
    </row>
    <row r="14" spans="1:2" ht="15.75" customHeight="1">
      <c r="A14" t="str">
        <v>is (2)ss (2)si (2)</v>
      </c>
      <c r="B14" t="b">
        <v>1</v>
      </c>
    </row>
    <row r="15" spans="1:2" ht="15.75" customHeight="1">
      <c r="A15" t="str">
        <v>ab (3)ba (2)</v>
      </c>
      <c r="B15" t="b">
        <v>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D4A70-23EA-46EA-8189-A523CDC0C02A}">
  <sheetPr>
    <outlinePr summaryBelow="0" summaryRight="0"/>
  </sheetPr>
  <dimension ref="A1:B16"/>
  <sheetViews>
    <sheetView workbookViewId="0">
      <selection activeCell="A13" sqref="A13"/>
    </sheetView>
  </sheetViews>
  <sheetFormatPr defaultColWidth="12.5703125" defaultRowHeight="15.75" customHeight="1"/>
  <cols>
    <col min="1" max="1" width="47" customWidth="1"/>
    <col min="2" max="2" width="39.85546875" customWidth="1"/>
    <col min="3" max="9" width="13.42578125" customWidth="1"/>
  </cols>
  <sheetData>
    <row r="1" spans="1:2" ht="15.75" customHeight="1" thickBot="1">
      <c r="A1" s="49" t="s">
        <v>651</v>
      </c>
      <c r="B1" s="88" t="s">
        <v>27</v>
      </c>
    </row>
    <row r="2" spans="1:2" ht="15.75" customHeight="1" thickBot="1">
      <c r="A2" s="51" t="s">
        <v>61</v>
      </c>
      <c r="B2" s="90" t="s">
        <v>652</v>
      </c>
    </row>
    <row r="3" spans="1:2" ht="15.75" customHeight="1" thickBot="1">
      <c r="A3" s="51" t="s">
        <v>653</v>
      </c>
      <c r="B3" s="90" t="s">
        <v>654</v>
      </c>
    </row>
    <row r="4" spans="1:2" ht="15.75" customHeight="1" thickBot="1">
      <c r="A4" s="51" t="s">
        <v>655</v>
      </c>
      <c r="B4" s="90" t="s">
        <v>656</v>
      </c>
    </row>
    <row r="5" spans="1:2" ht="15.75" customHeight="1" thickBot="1">
      <c r="A5" s="51" t="s">
        <v>657</v>
      </c>
      <c r="B5" s="90" t="s">
        <v>658</v>
      </c>
    </row>
    <row r="13" spans="1:2" ht="15.75" customHeight="1">
      <c r="A13" t="str" cm="1">
        <f t="array" ref="A13:A16">_xlfn.LET(
_xlpm.data, A2:A5,
_xlpm.lower, LOWER(_xlpm.data),
_xlpm.map, _xlfn.MAP(_xlpm.lower, _xlfn.LAMBDA(_xlpm.t, _xlfn.LET(_xlpm.split, MID(_xlpm.t, _xlfn.SEQUENCE(LEN(_xlpm.t)),1), _xlpm.unq, _xlfn.UNIQUE(_xlpm.split), _xlpm.cnt, _xlfn.MAP(_xlpm.unq, _xlfn.LAMBDA(_xlpm.u, "(" &amp; _xlfn.TEXTJOIN(",", 1, _xlfn._xlws.FILTER((_xlpm.split = _xlpm.u) * _xlfn.SEQUENCE(COUNTA(_xlpm.split)), (_xlpm.split = _xlpm.u) * _xlfn.SEQUENCE(COUNTA(split_)) &gt; 0)) &amp; ")")), _xlpm.comb, _xlpm.unq &amp; " " &amp; _xlpm.cnt, _xlpm.res, _xlfn.TEXTJOIN(", ", 1, _xlpm.comb), _xlpm.res))),
_xlpm.map)</f>
        <v>e (1,4), x (2), c (3), l (5)</v>
      </c>
      <c r="B13" t="b" cm="1">
        <f t="array" ref="B13:B16">_xlfn.ANCHORARRAY(A13)=B2:B5</f>
        <v>1</v>
      </c>
    </row>
    <row r="14" spans="1:2" ht="15.75" customHeight="1">
      <c r="A14" t="str">
        <v>f (1), o (2), r (3), m (4), u (5), l (6), a (7)</v>
      </c>
      <c r="B14" t="b">
        <v>1</v>
      </c>
    </row>
    <row r="15" spans="1:2" ht="15.75" customHeight="1">
      <c r="A15" t="str">
        <v>p (1), o (2), w (3), e (4), r (5), f (6), u (7), l (8)</v>
      </c>
      <c r="B15" t="b">
        <v>1</v>
      </c>
    </row>
    <row r="16" spans="1:2" ht="15.75" customHeight="1">
      <c r="A16" t="str">
        <v>a (1,3), m (2), z (4), i (5), n (6), g (7)</v>
      </c>
      <c r="B16" t="b">
        <v>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4ED1B-7F08-4B35-B556-82C1971EDDB3}">
  <sheetPr>
    <outlinePr summaryBelow="0" summaryRight="0"/>
  </sheetPr>
  <dimension ref="A1:B20"/>
  <sheetViews>
    <sheetView workbookViewId="0">
      <selection activeCell="D11" sqref="D11"/>
    </sheetView>
  </sheetViews>
  <sheetFormatPr defaultColWidth="12.5703125" defaultRowHeight="15.75" customHeight="1"/>
  <cols>
    <col min="1" max="1" width="47" customWidth="1"/>
    <col min="2" max="2" width="52" customWidth="1"/>
    <col min="3" max="9" width="13.42578125" customWidth="1"/>
  </cols>
  <sheetData>
    <row r="1" spans="1:2" ht="15.75" customHeight="1" thickBot="1">
      <c r="A1" s="49" t="s">
        <v>0</v>
      </c>
      <c r="B1" s="88" t="s">
        <v>27</v>
      </c>
    </row>
    <row r="2" spans="1:2" ht="15.75" customHeight="1" thickBot="1">
      <c r="A2" s="90" t="s">
        <v>641</v>
      </c>
      <c r="B2" s="90" t="s">
        <v>642</v>
      </c>
    </row>
    <row r="3" spans="1:2" ht="24" customHeight="1" thickBot="1">
      <c r="A3" s="90" t="s">
        <v>643</v>
      </c>
      <c r="B3" s="90" t="s">
        <v>644</v>
      </c>
    </row>
    <row r="4" spans="1:2" ht="15.75" customHeight="1" thickBot="1">
      <c r="A4" s="90" t="s">
        <v>645</v>
      </c>
      <c r="B4" s="90" t="s">
        <v>646</v>
      </c>
    </row>
    <row r="5" spans="1:2" ht="15.75" customHeight="1" thickBot="1">
      <c r="A5" s="90" t="s">
        <v>647</v>
      </c>
      <c r="B5" s="90" t="s">
        <v>648</v>
      </c>
    </row>
    <row r="6" spans="1:2" ht="15.75" customHeight="1" thickBot="1">
      <c r="A6" s="90" t="s">
        <v>649</v>
      </c>
      <c r="B6" s="90" t="s">
        <v>650</v>
      </c>
    </row>
    <row r="16" spans="1:2" ht="15.75" customHeight="1">
      <c r="A16" t="str" cm="1">
        <f t="array" ref="A16:A20">_xlfn.LET(
_xlpm.data, A2:A6,
_xlpm.lower, LOWER(_xlpm.data),
_xlpm.rid, _xlfn.MAP(_xlpm.lower, _xlfn.LAMBDA(_xlpm.l, _xlfn.TEXTJOIN("",1,_xlfn.TEXTSPLIT(_xlpm.l, {",";";";"!";"?";".";";";"?";"|"})))),
_xlpm.map, _xlfn.MAP(_xlpm.rid, _xlfn.LAMBDA(_xlpm.t, _xlfn.LET(_xlpm.split, _xlfn.TEXTSPLIT(_xlpm.t,," "), _xlpm.unq, _xlfn.UNIQUE(_xlpm.split), _xlpm.cnt, _xlfn.MAP(_xlpm.unq, _xlfn.LAMBDA(_xlpm.u, "(" &amp; _xlfn.TEXTJOIN(",", 1, _xlfn._xlws.FILTER((_xlpm.split = _xlpm.u) * _xlfn.SEQUENCE(COUNTA(_xlpm.split)), (_xlpm.split = _xlpm.u) * _xlfn.SEQUENCE(COUNTA(split_)) &gt; 0)) &amp; ")")), _xlpm.comb, _xlpm.unq &amp; " " &amp; _xlpm.cnt, _xlpm.res, _xlfn.TEXTJOIN(", ", 1, _xlpm.comb), _xlpm.res))),
_xlpm.map)</f>
        <v>excel (1,4), is (2,5), fun (3), great (6)</v>
      </c>
      <c r="B16" t="b" cm="1">
        <f t="array" ref="B16:B20">_xlfn.ANCHORARRAY(A16)=B2:B6</f>
        <v>1</v>
      </c>
    </row>
    <row r="17" spans="1:2" ht="15.75" customHeight="1">
      <c r="A17" t="str">
        <v>power (1,5), query (2), is (3,6), powerful (4), magic (7)</v>
      </c>
      <c r="B17" t="b">
        <v>1</v>
      </c>
    </row>
    <row r="18" spans="1:2" ht="15.75" customHeight="1">
      <c r="A18" t="str">
        <v>data (1,2,3), rules (4)</v>
      </c>
      <c r="B18" t="b">
        <v>1</v>
      </c>
    </row>
    <row r="19" spans="1:2" ht="15.75" customHeight="1">
      <c r="A19" t="str">
        <v>arrays (1,4), are (2,5), amazing (3,6)</v>
      </c>
      <c r="B19" t="b">
        <v>1</v>
      </c>
    </row>
    <row r="20" spans="1:2" ht="15.75" customHeight="1">
      <c r="A20" t="str">
        <v>excel (1,2,3)</v>
      </c>
      <c r="B20" t="b">
        <v>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A74A7-4328-42D5-A90F-4F6FAD689908}">
  <sheetPr>
    <outlinePr summaryBelow="0" summaryRight="0"/>
  </sheetPr>
  <dimension ref="A1:B18"/>
  <sheetViews>
    <sheetView workbookViewId="0">
      <selection activeCell="B24" sqref="B24"/>
    </sheetView>
  </sheetViews>
  <sheetFormatPr defaultColWidth="12.5703125" defaultRowHeight="15.75" customHeight="1"/>
  <cols>
    <col min="1" max="1" width="41.42578125" bestFit="1" customWidth="1"/>
    <col min="2" max="2" width="34.7109375" bestFit="1" customWidth="1"/>
    <col min="3" max="10" width="12.7109375" customWidth="1"/>
  </cols>
  <sheetData>
    <row r="1" spans="1:2" ht="15.75" customHeight="1" thickBot="1">
      <c r="A1" s="49" t="s">
        <v>0</v>
      </c>
      <c r="B1" s="88" t="s">
        <v>27</v>
      </c>
    </row>
    <row r="2" spans="1:2" ht="15.75" customHeight="1" thickBot="1">
      <c r="A2" s="51" t="s">
        <v>631</v>
      </c>
      <c r="B2" s="51" t="s">
        <v>632</v>
      </c>
    </row>
    <row r="3" spans="1:2" ht="15.75" customHeight="1" thickBot="1">
      <c r="A3" s="51" t="s">
        <v>633</v>
      </c>
      <c r="B3" s="51" t="s">
        <v>634</v>
      </c>
    </row>
    <row r="4" spans="1:2" ht="15.75" customHeight="1" thickBot="1">
      <c r="A4" s="51" t="s">
        <v>635</v>
      </c>
      <c r="B4" s="51" t="s">
        <v>636</v>
      </c>
    </row>
    <row r="5" spans="1:2" ht="15.75" customHeight="1" thickBot="1">
      <c r="A5" s="51" t="s">
        <v>637</v>
      </c>
      <c r="B5" s="51" t="s">
        <v>638</v>
      </c>
    </row>
    <row r="6" spans="1:2" ht="15.75" customHeight="1" thickBot="1">
      <c r="A6" s="51" t="s">
        <v>639</v>
      </c>
      <c r="B6" s="51" t="s">
        <v>640</v>
      </c>
    </row>
    <row r="14" spans="1:2" ht="15.75" customHeight="1">
      <c r="A14" t="str" cm="1">
        <f t="array" ref="A14:A18">_xlfn.LET(
_xlpm.data,A2:A6,
_xlpm.clean, _xlfn.BYROW(_xlpm.data, _xlfn.LAMBDA(_xlpm.r, TRIM(_xlfn.CONCAT(_xlfn.TEXTSPLIT(_xlpm.r, {",";";";"!";"."}))))),
_xlpm.map, _xlfn.MAP(_xlpm.clean, _xlfn.LAMBDA(_xlpm.w, _xlfn.LET(_xlpm.split, _xlfn.TEXTSPLIT(_xlpm.w,, " "), _xlpm.un, _xlfn.UNIQUE(_xlpm.split), _xlpm.counts, _xlfn.BYROW(_xlpm.un, _xlfn.LAMBDA(_xlpm.t, SUM(--(_xlpm.split = _xlpm.t)))), _xlpm.combined, _xlpm.un &amp; " (" &amp; _xlpm.counts &amp; ")", _xlpm.txt, _xlfn.TEXTJOIN(", ", 1, _xlpm.combined), _xlpm.txt))),
_xlpm.map)</f>
        <v>Excel (2), is (1), fun (2)</v>
      </c>
      <c r="B14" t="b" cm="1">
        <f t="array" ref="B14:B18">_xlfn.ANCHORARRAY(A14)=B2:B6</f>
        <v>1</v>
      </c>
    </row>
    <row r="15" spans="1:2" ht="15.75" customHeight="1">
      <c r="A15" t="str">
        <v>Data (3), Rules (1)</v>
      </c>
      <c r="B15" t="b">
        <v>1</v>
      </c>
    </row>
    <row r="16" spans="1:2" ht="15.75" customHeight="1">
      <c r="A16" t="str">
        <v>Learn (3), Excel (2), Daily (1)</v>
      </c>
      <c r="B16" t="b">
        <v>1</v>
      </c>
    </row>
    <row r="17" spans="1:2" ht="15.75" customHeight="1">
      <c r="A17" t="str">
        <v>Power (2), Query (1), is (1), Powerful (2)</v>
      </c>
      <c r="B17" t="b">
        <v>1</v>
      </c>
    </row>
    <row r="18" spans="1:2" ht="15.75" customHeight="1">
      <c r="A18" t="str">
        <v>Arrays (3), are (2), Amazing (2)</v>
      </c>
      <c r="B18" t="b">
        <v>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75F80-51F5-4BFC-AE50-D139340CD126}">
  <sheetPr>
    <outlinePr summaryBelow="0" summaryRight="0"/>
  </sheetPr>
  <dimension ref="A1:B14"/>
  <sheetViews>
    <sheetView workbookViewId="0">
      <selection activeCell="A13" sqref="A13"/>
    </sheetView>
  </sheetViews>
  <sheetFormatPr defaultColWidth="12.5703125" defaultRowHeight="15.75" customHeight="1"/>
  <cols>
    <col min="1" max="1" width="47" customWidth="1"/>
    <col min="2" max="2" width="39.85546875" customWidth="1"/>
    <col min="3" max="9" width="13.42578125" customWidth="1"/>
  </cols>
  <sheetData>
    <row r="1" spans="1:2" ht="15.75" customHeight="1" thickBot="1">
      <c r="A1" s="51" t="s">
        <v>57</v>
      </c>
      <c r="B1" s="88" t="s">
        <v>27</v>
      </c>
    </row>
    <row r="2" spans="1:2" ht="15.75" customHeight="1" thickBot="1">
      <c r="A2" s="51" t="s">
        <v>625</v>
      </c>
      <c r="B2" s="51" t="s">
        <v>626</v>
      </c>
    </row>
    <row r="3" spans="1:2" ht="15.75" customHeight="1" thickBot="1">
      <c r="A3" s="51" t="s">
        <v>627</v>
      </c>
      <c r="B3" s="51" t="s">
        <v>628</v>
      </c>
    </row>
    <row r="4" spans="1:2" ht="15.75" customHeight="1" thickBot="1">
      <c r="A4" s="51" t="s">
        <v>629</v>
      </c>
      <c r="B4" s="51" t="s">
        <v>630</v>
      </c>
    </row>
    <row r="12" spans="1:2" ht="15.75" customHeight="1">
      <c r="A12" t="str" cm="1">
        <f t="array" ref="A12:A14">_xlfn.MAP(A2:A4, _xlfn.LAMBDA(_xlpm.t, _xlfn.LET(_xlpm.split, _xlfn.TEXTSPLIT(_xlpm.t,, " ",1), _xlpm.map, _xlfn.MAP(_xlpm.split, _xlfn.LAMBDA(_xlpm.w, _xlfn.REDUCE("", _xlfn.SEQUENCE(IF(ISEVEN(LEN(_xlpm.w)), LEN(_xlpm.w) / 2, LEN(_xlpm.w) / 2 + 1),1,1,2), _xlfn.LAMBDA(_xlpm.state,_xlpm.curr, _xlpm.state &amp; MID(_xlpm.w, _xlpm.curr, 1))))), _xlpm.res, _xlfn.TEXTJOIN(" ", 1, _xlpm.map), _xlpm.res)))</f>
        <v>Ecl Frua Calne</v>
      </c>
      <c r="B12" t="b" cm="1">
        <f t="array" ref="B12:B14">_xlfn.ANCHORARRAY(A12)=B2:B4</f>
        <v>1</v>
      </c>
    </row>
    <row r="13" spans="1:2" ht="15.75" customHeight="1">
      <c r="A13" t="str">
        <v>Dnmc Ary ae pwru</v>
      </c>
      <c r="B13" t="b">
        <v>1</v>
      </c>
    </row>
    <row r="14" spans="1:2" ht="15.75" customHeight="1">
      <c r="A14" t="str">
        <v>Patc diy fr msey</v>
      </c>
      <c r="B14" t="b">
        <v>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70AF-4A5B-4FFE-A8BF-FD0A89B78471}">
  <sheetPr>
    <outlinePr summaryBelow="0" summaryRight="0"/>
  </sheetPr>
  <dimension ref="A1:O4"/>
  <sheetViews>
    <sheetView workbookViewId="0">
      <selection activeCell="B25" sqref="B25"/>
    </sheetView>
  </sheetViews>
  <sheetFormatPr defaultColWidth="12.5703125" defaultRowHeight="15.75" customHeight="1"/>
  <cols>
    <col min="2" max="10" width="12.7109375" customWidth="1"/>
  </cols>
  <sheetData>
    <row r="1" spans="1:15" ht="15.75" customHeight="1" thickBot="1">
      <c r="A1" s="49" t="s">
        <v>69</v>
      </c>
      <c r="B1" s="49" t="s">
        <v>73</v>
      </c>
      <c r="C1" s="49" t="s">
        <v>124</v>
      </c>
      <c r="D1" s="80"/>
      <c r="E1" s="50" t="s">
        <v>69</v>
      </c>
      <c r="F1" s="50" t="s">
        <v>73</v>
      </c>
      <c r="G1" s="50" t="s">
        <v>124</v>
      </c>
      <c r="I1" t="str" cm="1">
        <f t="array" ref="I1:K4">_xlfn.LET(_xlpm.headers, A1:C1,
_xlpm.data, A2:C4,
_xlpm.seq, _xlfn.SEQUENCE(ROWS(_xlpm.data),,2),
_xlpm.res,_xlfn.VSTACK(_xlpm.headers, _xlpm.data * _xlpm.seq),
_xlpm.res)</f>
        <v>A</v>
      </c>
      <c r="J1" t="str">
        <v>B</v>
      </c>
      <c r="K1" t="str">
        <v>C</v>
      </c>
      <c r="M1" t="b" cm="1">
        <f t="array" ref="M1:O4">_xlfn.ANCHORARRAY(I1)=E1:G4</f>
        <v>1</v>
      </c>
      <c r="N1" t="b">
        <v>1</v>
      </c>
      <c r="O1" t="b">
        <v>1</v>
      </c>
    </row>
    <row r="2" spans="1:15" ht="15.75" customHeight="1" thickBot="1">
      <c r="A2" s="82">
        <v>2</v>
      </c>
      <c r="B2" s="82">
        <v>4</v>
      </c>
      <c r="C2" s="82">
        <v>6</v>
      </c>
      <c r="D2" s="80"/>
      <c r="E2" s="82">
        <v>4</v>
      </c>
      <c r="F2" s="82">
        <v>8</v>
      </c>
      <c r="G2" s="82">
        <v>12</v>
      </c>
      <c r="I2">
        <v>4</v>
      </c>
      <c r="J2">
        <v>8</v>
      </c>
      <c r="K2">
        <v>12</v>
      </c>
      <c r="M2" t="b">
        <v>1</v>
      </c>
      <c r="N2" t="b">
        <v>1</v>
      </c>
      <c r="O2" t="b">
        <v>1</v>
      </c>
    </row>
    <row r="3" spans="1:15" ht="15.75" customHeight="1" thickBot="1">
      <c r="A3" s="82">
        <v>3</v>
      </c>
      <c r="B3" s="82">
        <v>5</v>
      </c>
      <c r="C3" s="82">
        <v>7</v>
      </c>
      <c r="D3" s="80"/>
      <c r="E3" s="82">
        <v>9</v>
      </c>
      <c r="F3" s="82">
        <v>15</v>
      </c>
      <c r="G3" s="82">
        <v>21</v>
      </c>
      <c r="I3">
        <v>9</v>
      </c>
      <c r="J3">
        <v>15</v>
      </c>
      <c r="K3">
        <v>21</v>
      </c>
      <c r="M3" t="b">
        <v>1</v>
      </c>
      <c r="N3" t="b">
        <v>1</v>
      </c>
      <c r="O3" t="b">
        <v>1</v>
      </c>
    </row>
    <row r="4" spans="1:15" ht="15.75" customHeight="1" thickBot="1">
      <c r="A4" s="82">
        <v>4</v>
      </c>
      <c r="B4" s="82">
        <v>6</v>
      </c>
      <c r="C4" s="82">
        <v>8</v>
      </c>
      <c r="D4" s="80"/>
      <c r="E4" s="82">
        <v>16</v>
      </c>
      <c r="F4" s="82">
        <v>24</v>
      </c>
      <c r="G4" s="82">
        <v>32</v>
      </c>
      <c r="I4">
        <v>16</v>
      </c>
      <c r="J4">
        <v>24</v>
      </c>
      <c r="K4">
        <v>32</v>
      </c>
      <c r="M4" t="b">
        <v>1</v>
      </c>
      <c r="N4" t="b">
        <v>1</v>
      </c>
      <c r="O4" t="b">
        <v>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17680-DFF4-41CE-89D9-65A8812AB9B6}">
  <sheetPr>
    <outlinePr summaryBelow="0" summaryRight="0"/>
  </sheetPr>
  <dimension ref="A1:B14"/>
  <sheetViews>
    <sheetView workbookViewId="0">
      <selection activeCell="A27" sqref="A27"/>
    </sheetView>
  </sheetViews>
  <sheetFormatPr defaultColWidth="12.5703125" defaultRowHeight="15.75" customHeight="1"/>
  <cols>
    <col min="1" max="1" width="47" customWidth="1"/>
    <col min="2" max="2" width="39.85546875" customWidth="1"/>
    <col min="3" max="9" width="13.42578125" customWidth="1"/>
  </cols>
  <sheetData>
    <row r="1" spans="1:2" ht="15.75" customHeight="1" thickBot="1">
      <c r="A1" s="49" t="s">
        <v>0</v>
      </c>
      <c r="B1" s="88" t="s">
        <v>27</v>
      </c>
    </row>
    <row r="2" spans="1:2" ht="15.75" customHeight="1" thickBot="1">
      <c r="A2" s="51" t="s">
        <v>619</v>
      </c>
      <c r="B2" s="51" t="s">
        <v>620</v>
      </c>
    </row>
    <row r="3" spans="1:2" ht="15.75" customHeight="1" thickBot="1">
      <c r="A3" s="51" t="s">
        <v>621</v>
      </c>
      <c r="B3" s="51" t="s">
        <v>622</v>
      </c>
    </row>
    <row r="4" spans="1:2" ht="15.75" customHeight="1" thickBot="1">
      <c r="A4" s="51" t="s">
        <v>623</v>
      </c>
      <c r="B4" s="51" t="s">
        <v>624</v>
      </c>
    </row>
    <row r="12" spans="1:2" ht="15.75" customHeight="1">
      <c r="A12" t="str" cm="1">
        <f t="array" ref="A12:A14">_xlfn.MAP(A2:A4, _xlfn.LAMBDA(_xlpm.t, _xlfn.LET(_xlpm.split, _xlfn.TEXTSPLIT(_xlpm.t,, " ", 1), _xlpm.seq, _xlfn.SEQUENCE(COUNTA(_xlpm.split)), _xlpm.res, IF(ISEVEN(_xlpm.seq), "fun", _xlpm.split), _xlpm.sol, _xlfn.TEXTJOIN(" ", 1, _xlpm.res), _xlpm.sol)))</f>
        <v>Excel fun are fun powerful fun fun</v>
      </c>
      <c r="B12" t="b" cm="1">
        <f t="array" ref="B12:B14">_xlfn.ANCHORARRAY(A12)=B2:B4</f>
        <v>1</v>
      </c>
    </row>
    <row r="13" spans="1:2" ht="15.75" customHeight="1">
      <c r="A13" t="str">
        <v>Learning fun improves fun mastery</v>
      </c>
      <c r="B13" t="b">
        <v>1</v>
      </c>
    </row>
    <row r="14" spans="1:2" ht="15.75" customHeight="1">
      <c r="A14" t="str">
        <v>Data fun make fun future-ready</v>
      </c>
      <c r="B14" t="b">
        <v>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84B02-91E1-482C-8AF0-FC89B3796099}">
  <sheetPr>
    <outlinePr summaryBelow="0" summaryRight="0"/>
  </sheetPr>
  <dimension ref="B1:Y42"/>
  <sheetViews>
    <sheetView workbookViewId="0">
      <selection activeCell="F19" sqref="F19"/>
    </sheetView>
  </sheetViews>
  <sheetFormatPr defaultColWidth="12.5703125" defaultRowHeight="15.75" customHeight="1"/>
  <cols>
    <col min="1" max="1" width="12.5703125" style="54"/>
    <col min="2" max="10" width="12.7109375" style="54" customWidth="1"/>
    <col min="11" max="16384" width="12.5703125" style="54"/>
  </cols>
  <sheetData>
    <row r="1" spans="2:25" ht="15.75" customHeight="1" thickBot="1">
      <c r="B1" s="49" t="s">
        <v>69</v>
      </c>
      <c r="C1" s="49" t="s">
        <v>73</v>
      </c>
      <c r="D1" s="49" t="s">
        <v>124</v>
      </c>
      <c r="E1" s="49" t="s">
        <v>125</v>
      </c>
      <c r="F1" s="49" t="s">
        <v>126</v>
      </c>
      <c r="G1" s="80"/>
      <c r="H1" s="80"/>
      <c r="I1" s="88" t="s">
        <v>27</v>
      </c>
      <c r="J1"/>
      <c r="K1" t="str" cm="1">
        <f t="array" aca="1" ref="K1:K4" ca="1">_xlfn.LET(
_xlpm.data,B2:F4,
_xlpm.inside, _xlfn.DROP(_xlfn.DROP(_xlpm.data,,1),,-1),
_xlpm.left, OFFSET(_xlpm.inside, 0, -1),
_xlpm.right, OFFSET(_xlpm.inside, 0, 1),
_xlpm.res, _xlfn.VSTACK({"Output"},_xlfn.BYROW(((_xlpm.inside &gt; _xlpm.left) * (_xlpm.inside &gt; _xlpm.right)), _xleta.SUM)),
_xlpm.res)</f>
        <v>Output</v>
      </c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2:25" ht="15.75" customHeight="1" thickBot="1">
      <c r="B2" s="82">
        <v>2</v>
      </c>
      <c r="C2" s="82">
        <v>5</v>
      </c>
      <c r="D2" s="82">
        <v>3</v>
      </c>
      <c r="E2" s="82">
        <v>8</v>
      </c>
      <c r="F2" s="82">
        <v>6</v>
      </c>
      <c r="G2" s="80"/>
      <c r="H2" s="80"/>
      <c r="I2" s="82">
        <v>2</v>
      </c>
      <c r="J2"/>
      <c r="K2">
        <f ca="1"/>
        <v>2</v>
      </c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2:25" ht="15.75" customHeight="1" thickBot="1">
      <c r="B3" s="82">
        <v>4</v>
      </c>
      <c r="C3" s="82">
        <v>1</v>
      </c>
      <c r="D3" s="82">
        <v>7</v>
      </c>
      <c r="E3" s="82">
        <v>2</v>
      </c>
      <c r="F3" s="82">
        <v>9</v>
      </c>
      <c r="G3" s="80"/>
      <c r="H3" s="80"/>
      <c r="I3" s="82">
        <v>1</v>
      </c>
      <c r="J3"/>
      <c r="K3">
        <f ca="1"/>
        <v>1</v>
      </c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2:25" ht="15.75" customHeight="1" thickBot="1">
      <c r="B4" s="82">
        <v>10</v>
      </c>
      <c r="C4" s="82">
        <v>13</v>
      </c>
      <c r="D4" s="82">
        <v>12</v>
      </c>
      <c r="E4" s="82">
        <v>16</v>
      </c>
      <c r="F4" s="82">
        <v>15</v>
      </c>
      <c r="G4" s="80"/>
      <c r="H4" s="80"/>
      <c r="I4" s="82">
        <v>2</v>
      </c>
      <c r="J4"/>
      <c r="K4">
        <f ca="1"/>
        <v>2</v>
      </c>
      <c r="L4"/>
      <c r="M4"/>
      <c r="N4"/>
      <c r="O4"/>
      <c r="P4"/>
      <c r="Q4"/>
      <c r="R4"/>
      <c r="S4"/>
      <c r="T4"/>
      <c r="U4"/>
      <c r="V4"/>
      <c r="W4"/>
      <c r="X4"/>
      <c r="Y4"/>
    </row>
    <row r="5" spans="2:25" ht="15.75" customHeight="1"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</row>
    <row r="6" spans="2:25" ht="15.75" customHeight="1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</row>
    <row r="7" spans="2:25" ht="15.75" customHeight="1"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</row>
    <row r="8" spans="2:25" ht="15.75" customHeight="1"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</row>
    <row r="9" spans="2:25" ht="15.75" customHeight="1"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</row>
    <row r="10" spans="2:25" ht="15.75" customHeight="1"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 spans="2:25" ht="15.75" customHeight="1"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</row>
    <row r="12" spans="2:25" ht="15.75" customHeight="1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</row>
    <row r="13" spans="2:25" ht="15.75" customHeight="1"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</row>
    <row r="14" spans="2:25" ht="15.75" customHeight="1"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</row>
    <row r="15" spans="2:25" ht="15.75" customHeight="1"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</row>
    <row r="16" spans="2:25" ht="15.75" customHeight="1">
      <c r="B16"/>
      <c r="C16"/>
      <c r="D16"/>
      <c r="E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</row>
    <row r="17" spans="2:25" ht="15.75" customHeight="1"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</row>
    <row r="18" spans="2:25" ht="15.75" customHeight="1"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</row>
    <row r="19" spans="2:25" ht="15.75" customHeight="1"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</row>
    <row r="20" spans="2:25" ht="15.75" customHeight="1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 spans="2:25" ht="15.75" customHeight="1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</row>
    <row r="22" spans="2:25" ht="15.75" customHeight="1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</row>
    <row r="23" spans="2:25" ht="15.75" customHeight="1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</row>
    <row r="24" spans="2:25" ht="15.75" customHeight="1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</row>
    <row r="25" spans="2:25" ht="15.75" customHeight="1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</row>
    <row r="26" spans="2:25" ht="15.75" customHeight="1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</row>
    <row r="27" spans="2:25" ht="15.75" customHeight="1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</row>
    <row r="28" spans="2:25" ht="15.75" customHeight="1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</row>
    <row r="29" spans="2:25" ht="15.75" customHeight="1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</row>
    <row r="30" spans="2:25" ht="15.75" customHeight="1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 spans="2:25" ht="15.75" customHeight="1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</row>
    <row r="32" spans="2:25" ht="15.75" customHeight="1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</row>
    <row r="33" spans="2:25" ht="15.75" customHeight="1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</row>
    <row r="34" spans="2:25" ht="15.75" customHeight="1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</row>
    <row r="35" spans="2:25" ht="15.75" customHeight="1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</row>
    <row r="36" spans="2:25" ht="15.75" customHeight="1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</row>
    <row r="37" spans="2:25" ht="15.75" customHeight="1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</row>
    <row r="38" spans="2:25" ht="15.75" customHeight="1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</row>
    <row r="39" spans="2:25" ht="15.75" customHeight="1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</row>
    <row r="40" spans="2:25" ht="15.75" customHeight="1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 spans="2:25" ht="15.75" customHeight="1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</row>
    <row r="42" spans="2:25" ht="15.75" customHeight="1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DCFD2-7204-4069-BB89-D17EF18ABC7F}">
  <sheetPr>
    <outlinePr summaryBelow="0" summaryRight="0"/>
  </sheetPr>
  <dimension ref="A1:K4"/>
  <sheetViews>
    <sheetView workbookViewId="0">
      <selection activeCell="G14" sqref="G14"/>
    </sheetView>
  </sheetViews>
  <sheetFormatPr defaultColWidth="12.5703125" defaultRowHeight="15.75" customHeight="1"/>
  <cols>
    <col min="1" max="6" width="3" bestFit="1" customWidth="1"/>
    <col min="7" max="7" width="21.140625" customWidth="1"/>
    <col min="8" max="9" width="3" bestFit="1" customWidth="1"/>
  </cols>
  <sheetData>
    <row r="1" spans="1:11" ht="15.75" customHeight="1" thickBot="1">
      <c r="A1" s="49" t="s">
        <v>69</v>
      </c>
      <c r="B1" s="49" t="s">
        <v>73</v>
      </c>
      <c r="C1" s="49" t="s">
        <v>124</v>
      </c>
      <c r="D1" s="49" t="s">
        <v>125</v>
      </c>
      <c r="E1" s="49" t="s">
        <v>126</v>
      </c>
      <c r="F1" s="80"/>
      <c r="G1" s="88" t="s">
        <v>27</v>
      </c>
      <c r="J1" t="str" cm="1">
        <f t="array" aca="1" ref="J1:J4" ca="1">_xlfn.LET(
_xlpm.data, A2:E4,
_xlpm.byrow, _xlfn.BYROW(_xlpm.data, _xlfn.LAMBDA(_xlpm.r, SUM(--(OFFSET(_xlpm.r,,1) &gt; _xlpm.r)))),
_xlpm.res, _xlfn.VSTACK({"Output"}, _xlpm.byrow),
_xlpm.res)</f>
        <v>Output</v>
      </c>
      <c r="K1" t="b" cm="1">
        <f t="array" aca="1" ref="K1:K4" ca="1">_xlfn.ANCHORARRAY(J1)=G1:G4</f>
        <v>1</v>
      </c>
    </row>
    <row r="2" spans="1:11" ht="15.75" customHeight="1" thickBot="1">
      <c r="A2" s="89">
        <v>3</v>
      </c>
      <c r="B2" s="89">
        <v>5</v>
      </c>
      <c r="C2" s="89">
        <v>2</v>
      </c>
      <c r="D2" s="89">
        <v>7</v>
      </c>
      <c r="E2" s="89">
        <v>9</v>
      </c>
      <c r="F2" s="80"/>
      <c r="G2" s="89">
        <v>3</v>
      </c>
      <c r="J2">
        <f ca="1"/>
        <v>3</v>
      </c>
      <c r="K2" t="b">
        <f ca="1"/>
        <v>1</v>
      </c>
    </row>
    <row r="3" spans="1:11" ht="15.75" customHeight="1" thickBot="1">
      <c r="A3" s="89">
        <v>10</v>
      </c>
      <c r="B3" s="89">
        <v>8</v>
      </c>
      <c r="C3" s="89">
        <v>6</v>
      </c>
      <c r="D3" s="89">
        <v>7</v>
      </c>
      <c r="E3" s="89">
        <v>12</v>
      </c>
      <c r="F3" s="80"/>
      <c r="G3" s="89">
        <v>2</v>
      </c>
      <c r="J3">
        <f ca="1"/>
        <v>2</v>
      </c>
      <c r="K3" t="b">
        <f ca="1"/>
        <v>1</v>
      </c>
    </row>
    <row r="4" spans="1:11" ht="15.75" customHeight="1" thickBot="1">
      <c r="A4" s="89">
        <v>1</v>
      </c>
      <c r="B4" s="89">
        <v>2</v>
      </c>
      <c r="C4" s="89">
        <v>3</v>
      </c>
      <c r="D4" s="89">
        <v>2</v>
      </c>
      <c r="E4" s="89">
        <v>5</v>
      </c>
      <c r="F4" s="80"/>
      <c r="G4" s="89">
        <v>3</v>
      </c>
      <c r="J4">
        <f ca="1"/>
        <v>3</v>
      </c>
      <c r="K4" t="b">
        <f ca="1"/>
        <v>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A48C7-5536-475F-83FB-796DC6AB7DED}">
  <sheetPr>
    <outlinePr summaryBelow="0" summaryRight="0"/>
  </sheetPr>
  <dimension ref="A1:X42"/>
  <sheetViews>
    <sheetView workbookViewId="0">
      <selection activeCell="D30" sqref="D30"/>
    </sheetView>
  </sheetViews>
  <sheetFormatPr defaultColWidth="12.5703125" defaultRowHeight="15.75" customHeight="1"/>
  <cols>
    <col min="1" max="9" width="12.7109375" style="54" customWidth="1"/>
    <col min="10" max="16384" width="12.5703125" style="54"/>
  </cols>
  <sheetData>
    <row r="1" spans="1:24" ht="15.75" customHeight="1" thickBot="1">
      <c r="A1" s="49" t="s">
        <v>69</v>
      </c>
      <c r="B1" s="49" t="s">
        <v>73</v>
      </c>
      <c r="C1" s="49" t="s">
        <v>124</v>
      </c>
      <c r="D1" s="80"/>
      <c r="E1" s="50" t="s">
        <v>27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4" ht="15.75" customHeight="1" thickBot="1">
      <c r="A2" s="89">
        <v>123</v>
      </c>
      <c r="B2" s="89">
        <v>45</v>
      </c>
      <c r="C2" s="89">
        <v>89</v>
      </c>
      <c r="D2" s="80"/>
      <c r="E2" s="89" t="s">
        <v>615</v>
      </c>
      <c r="F2"/>
      <c r="G2"/>
      <c r="H2" t="str" cm="1">
        <f t="array" ref="H2:H5">_xlfn.BYROW(_xlfn.MAP(A2:C5, _xlfn.LAMBDA(_xlpm.x, SUM(--MID(_xlpm.x, _xlfn.SEQUENCE(LEN(_xlpm.x)),1)))), _xlfn.LAMBDA(_xlpm.r, _xlfn.TEXTJOIN(" ", 1, _xlpm.r)))</f>
        <v>6 9 17</v>
      </c>
      <c r="I2"/>
      <c r="J2" t="b" cm="1">
        <f t="array" ref="J2:J5">_xlfn.ANCHORARRAY(H2)=E2:E5</f>
        <v>1</v>
      </c>
      <c r="K2"/>
      <c r="L2"/>
      <c r="M2"/>
      <c r="N2"/>
      <c r="O2"/>
      <c r="P2"/>
      <c r="Q2"/>
      <c r="R2"/>
      <c r="S2"/>
      <c r="T2"/>
      <c r="U2"/>
      <c r="V2"/>
      <c r="W2"/>
      <c r="X2"/>
    </row>
    <row r="3" spans="1:24" ht="15.75" customHeight="1" thickBot="1">
      <c r="A3" s="89">
        <v>202</v>
      </c>
      <c r="B3" s="89">
        <v>19</v>
      </c>
      <c r="C3" s="89">
        <v>300</v>
      </c>
      <c r="D3" s="80"/>
      <c r="E3" s="89" t="s">
        <v>616</v>
      </c>
      <c r="F3"/>
      <c r="G3"/>
      <c r="H3" t="str">
        <v>4 10 3</v>
      </c>
      <c r="I3"/>
      <c r="J3" t="b">
        <v>1</v>
      </c>
      <c r="K3"/>
      <c r="L3"/>
      <c r="M3"/>
      <c r="N3"/>
      <c r="O3"/>
      <c r="P3"/>
      <c r="Q3"/>
      <c r="R3"/>
      <c r="S3"/>
      <c r="T3"/>
      <c r="U3"/>
      <c r="V3"/>
      <c r="W3"/>
      <c r="X3"/>
    </row>
    <row r="4" spans="1:24" ht="15.75" customHeight="1" thickBot="1">
      <c r="A4" s="89">
        <v>23</v>
      </c>
      <c r="B4" s="89">
        <v>0</v>
      </c>
      <c r="C4" s="89">
        <v>459</v>
      </c>
      <c r="D4" s="80"/>
      <c r="E4" s="89" t="s">
        <v>617</v>
      </c>
      <c r="F4"/>
      <c r="G4"/>
      <c r="H4" t="str">
        <v>5 0 18</v>
      </c>
      <c r="I4"/>
      <c r="J4" t="b">
        <v>1</v>
      </c>
      <c r="K4"/>
      <c r="L4"/>
      <c r="M4"/>
      <c r="N4"/>
      <c r="O4"/>
      <c r="P4"/>
      <c r="Q4"/>
      <c r="R4"/>
      <c r="S4"/>
      <c r="T4"/>
      <c r="U4"/>
      <c r="V4"/>
      <c r="W4"/>
      <c r="X4"/>
    </row>
    <row r="5" spans="1:24" ht="15.75" customHeight="1" thickBot="1">
      <c r="A5" s="89">
        <v>450</v>
      </c>
      <c r="B5" s="89">
        <v>9999</v>
      </c>
      <c r="C5" s="89">
        <v>2310</v>
      </c>
      <c r="D5" s="80"/>
      <c r="E5" s="89" t="s">
        <v>618</v>
      </c>
      <c r="F5"/>
      <c r="G5"/>
      <c r="H5" t="str">
        <v>9 36 6</v>
      </c>
      <c r="I5"/>
      <c r="J5" t="b">
        <v>1</v>
      </c>
      <c r="K5"/>
      <c r="L5"/>
      <c r="M5"/>
      <c r="N5"/>
      <c r="O5"/>
      <c r="P5"/>
      <c r="Q5"/>
      <c r="R5"/>
      <c r="S5"/>
      <c r="T5"/>
      <c r="U5"/>
      <c r="V5"/>
      <c r="W5"/>
      <c r="X5"/>
    </row>
    <row r="6" spans="1:24" ht="15.75" customHeight="1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</row>
    <row r="7" spans="1:24" ht="15.75" customHeight="1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</row>
    <row r="8" spans="1:24" ht="15.75" customHeight="1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</row>
    <row r="9" spans="1:24" ht="15.75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 spans="1:24" ht="15.75" customHeigh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</row>
    <row r="11" spans="1:24" ht="15.75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</row>
    <row r="12" spans="1:24" ht="15.75" customHeigh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</row>
    <row r="13" spans="1:24" ht="15.75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</row>
    <row r="14" spans="1:24" ht="15.75" customHeigh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</row>
    <row r="15" spans="1:24" ht="15.75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</row>
    <row r="16" spans="1:24" ht="15.75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  <row r="17" spans="1:24" ht="15.75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</row>
    <row r="18" spans="1:24" ht="15.75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</row>
    <row r="19" spans="1:24" ht="15.75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</row>
    <row r="20" spans="1:24" ht="15.75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</row>
    <row r="21" spans="1:24" ht="15.75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</row>
    <row r="22" spans="1:24" ht="15.75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</row>
    <row r="23" spans="1:24" ht="15.75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</row>
    <row r="24" spans="1:24" ht="15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</row>
    <row r="25" spans="1:24" ht="15.75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</row>
    <row r="26" spans="1:24" ht="15.75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</row>
    <row r="27" spans="1:24" ht="15.75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</row>
    <row r="28" spans="1:24" ht="15.75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</row>
    <row r="29" spans="1:24" ht="15.75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</row>
    <row r="30" spans="1:24" ht="15.75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</row>
    <row r="31" spans="1:24" ht="15.75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</row>
    <row r="32" spans="1:24" ht="15.75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</row>
    <row r="33" spans="1:24" ht="15.75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</row>
    <row r="34" spans="1:24" ht="15.75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</row>
    <row r="35" spans="1:24" ht="15.75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</row>
    <row r="36" spans="1:24" ht="15.75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</row>
    <row r="37" spans="1:24" ht="15.75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</row>
    <row r="38" spans="1:24" ht="15.75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</row>
    <row r="39" spans="1:24" ht="15.75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</row>
    <row r="40" spans="1:24" ht="15.75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</row>
    <row r="41" spans="1:24" ht="15.7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</row>
    <row r="42" spans="1:24" ht="15.7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7BDF2-2807-4138-A02B-FB081F043440}">
  <sheetPr>
    <outlinePr summaryBelow="0" summaryRight="0"/>
  </sheetPr>
  <dimension ref="A1:X42"/>
  <sheetViews>
    <sheetView workbookViewId="0">
      <selection activeCell="G2" sqref="G2:G9"/>
    </sheetView>
  </sheetViews>
  <sheetFormatPr defaultColWidth="12.5703125" defaultRowHeight="15.75" customHeight="1"/>
  <cols>
    <col min="1" max="6" width="3" style="54" bestFit="1" customWidth="1"/>
    <col min="7" max="7" width="21.140625" style="54" customWidth="1"/>
    <col min="8" max="9" width="3" style="54" bestFit="1" customWidth="1"/>
    <col min="10" max="16384" width="12.5703125" style="54"/>
  </cols>
  <sheetData>
    <row r="1" spans="1:24" ht="15.75" customHeight="1" thickBot="1">
      <c r="A1" s="51" t="s">
        <v>69</v>
      </c>
      <c r="B1" s="51" t="s">
        <v>73</v>
      </c>
      <c r="C1" s="51" t="s">
        <v>124</v>
      </c>
      <c r="D1" s="51" t="s">
        <v>125</v>
      </c>
      <c r="E1" s="51" t="s">
        <v>126</v>
      </c>
      <c r="F1" s="80"/>
      <c r="G1" s="88" t="s">
        <v>27</v>
      </c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4" ht="15.75" customHeight="1" thickBot="1">
      <c r="A2" s="89">
        <v>10</v>
      </c>
      <c r="B2" s="89">
        <v>20</v>
      </c>
      <c r="C2" s="80"/>
      <c r="D2" s="89">
        <v>30</v>
      </c>
      <c r="E2" s="89">
        <v>40</v>
      </c>
      <c r="F2" s="80"/>
      <c r="G2" s="82">
        <v>30</v>
      </c>
      <c r="H2"/>
      <c r="I2"/>
      <c r="J2"/>
      <c r="K2" cm="1">
        <f t="array" ref="K2:K6">_xlfn.BYROW(A2:E6,_xlfn.LAMBDA(_xlpm.r, _xlfn.IFNA(SUM(_xlfn.TAKE(_xlpm.r,1, _xlfn.XMATCH(TRUE, _xlpm.r = "",0,1))),SUM(_xlpm.r))))</f>
        <v>30</v>
      </c>
      <c r="L2"/>
      <c r="M2" t="b" cm="1">
        <f t="array" ref="M2:M6">_xlfn.ANCHORARRAY(K2)=G2:G6</f>
        <v>1</v>
      </c>
      <c r="N2"/>
      <c r="O2"/>
      <c r="P2"/>
      <c r="Q2"/>
      <c r="R2"/>
      <c r="S2"/>
      <c r="T2"/>
      <c r="U2"/>
      <c r="V2"/>
      <c r="W2"/>
      <c r="X2"/>
    </row>
    <row r="3" spans="1:24" ht="15.75" customHeight="1" thickBot="1">
      <c r="A3" s="89">
        <v>5</v>
      </c>
      <c r="B3" s="89">
        <v>15</v>
      </c>
      <c r="C3" s="89">
        <v>25</v>
      </c>
      <c r="D3" s="89">
        <v>35</v>
      </c>
      <c r="E3" s="89">
        <v>45</v>
      </c>
      <c r="F3" s="80"/>
      <c r="G3" s="82">
        <v>125</v>
      </c>
      <c r="H3"/>
      <c r="I3"/>
      <c r="J3"/>
      <c r="K3">
        <v>125</v>
      </c>
      <c r="L3"/>
      <c r="M3" t="b">
        <v>1</v>
      </c>
      <c r="N3"/>
      <c r="O3"/>
      <c r="P3"/>
      <c r="Q3"/>
      <c r="R3"/>
      <c r="S3"/>
      <c r="T3"/>
      <c r="U3"/>
      <c r="V3"/>
      <c r="W3"/>
      <c r="X3"/>
    </row>
    <row r="4" spans="1:24" ht="15.75" customHeight="1" thickBot="1">
      <c r="A4" s="89">
        <v>8</v>
      </c>
      <c r="B4" s="80"/>
      <c r="C4" s="89">
        <v>12</v>
      </c>
      <c r="D4" s="89">
        <v>14</v>
      </c>
      <c r="E4" s="89">
        <v>16</v>
      </c>
      <c r="F4" s="80"/>
      <c r="G4" s="82">
        <v>8</v>
      </c>
      <c r="H4"/>
      <c r="I4"/>
      <c r="J4"/>
      <c r="K4">
        <v>8</v>
      </c>
      <c r="L4"/>
      <c r="M4" t="b">
        <v>1</v>
      </c>
      <c r="N4"/>
      <c r="O4"/>
      <c r="P4"/>
      <c r="Q4"/>
      <c r="R4"/>
      <c r="S4"/>
      <c r="T4"/>
      <c r="U4"/>
      <c r="V4"/>
      <c r="W4"/>
      <c r="X4"/>
    </row>
    <row r="5" spans="1:24" ht="15.75" customHeight="1" thickBot="1">
      <c r="A5" s="80"/>
      <c r="B5" s="89">
        <v>20</v>
      </c>
      <c r="C5" s="89">
        <v>35</v>
      </c>
      <c r="D5" s="89">
        <v>4</v>
      </c>
      <c r="E5" s="89">
        <v>23</v>
      </c>
      <c r="F5" s="80"/>
      <c r="G5" s="82">
        <v>0</v>
      </c>
      <c r="H5"/>
      <c r="I5"/>
      <c r="J5"/>
      <c r="K5">
        <v>0</v>
      </c>
      <c r="L5"/>
      <c r="M5" t="b">
        <v>1</v>
      </c>
      <c r="N5"/>
      <c r="O5"/>
      <c r="P5"/>
      <c r="Q5"/>
      <c r="R5"/>
      <c r="S5"/>
      <c r="T5"/>
      <c r="U5"/>
      <c r="V5"/>
      <c r="W5"/>
      <c r="X5"/>
    </row>
    <row r="6" spans="1:24" ht="15.75" customHeight="1" thickBot="1">
      <c r="A6" s="89">
        <v>11</v>
      </c>
      <c r="B6" s="89">
        <v>24</v>
      </c>
      <c r="C6" s="89">
        <v>34</v>
      </c>
      <c r="D6" s="80"/>
      <c r="E6" s="89">
        <v>6</v>
      </c>
      <c r="F6" s="80"/>
      <c r="G6" s="82">
        <v>69</v>
      </c>
      <c r="H6"/>
      <c r="I6"/>
      <c r="J6"/>
      <c r="K6">
        <v>69</v>
      </c>
      <c r="L6"/>
      <c r="M6" t="b">
        <v>1</v>
      </c>
      <c r="N6"/>
      <c r="O6"/>
      <c r="P6"/>
      <c r="Q6"/>
      <c r="R6"/>
      <c r="S6"/>
      <c r="T6"/>
      <c r="U6"/>
      <c r="V6"/>
      <c r="W6"/>
      <c r="X6"/>
    </row>
    <row r="7" spans="1:24" ht="15.75" customHeight="1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</row>
    <row r="8" spans="1:24" ht="15.75" customHeight="1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</row>
    <row r="9" spans="1:24" ht="15.75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 spans="1:24" ht="15.75" customHeigh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</row>
    <row r="11" spans="1:24" ht="15.75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</row>
    <row r="12" spans="1:24" ht="15.75" customHeigh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</row>
    <row r="13" spans="1:24" ht="15.75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</row>
    <row r="14" spans="1:24" ht="15.75" customHeigh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</row>
    <row r="15" spans="1:24" ht="15.75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</row>
    <row r="16" spans="1:24" ht="15.75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  <row r="17" spans="1:24" ht="15.75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</row>
    <row r="18" spans="1:24" ht="15.75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</row>
    <row r="19" spans="1:24" ht="15.75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</row>
    <row r="20" spans="1:24" ht="15.75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</row>
    <row r="21" spans="1:24" ht="15.75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</row>
    <row r="22" spans="1:24" ht="15.75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</row>
    <row r="23" spans="1:24" ht="15.75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</row>
    <row r="24" spans="1:24" ht="15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</row>
    <row r="25" spans="1:24" ht="15.75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</row>
    <row r="26" spans="1:24" ht="15.75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</row>
    <row r="27" spans="1:24" ht="15.75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</row>
    <row r="28" spans="1:24" ht="15.75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</row>
    <row r="29" spans="1:24" ht="15.75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</row>
    <row r="30" spans="1:24" ht="15.75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</row>
    <row r="31" spans="1:24" ht="15.75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</row>
    <row r="32" spans="1:24" ht="15.75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</row>
    <row r="33" spans="1:24" ht="15.75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</row>
    <row r="34" spans="1:24" ht="15.75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</row>
    <row r="35" spans="1:24" ht="15.75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</row>
    <row r="36" spans="1:24" ht="15.75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</row>
    <row r="37" spans="1:24" ht="15.75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</row>
    <row r="38" spans="1:24" ht="15.75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</row>
    <row r="39" spans="1:24" ht="15.75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</row>
    <row r="40" spans="1:24" ht="15.75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</row>
    <row r="41" spans="1:24" ht="15.7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</row>
    <row r="42" spans="1:24" ht="15.7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25C2F-B4A8-4F1F-9BAC-95D9793F59A0}">
  <sheetPr>
    <outlinePr summaryBelow="0" summaryRight="0"/>
  </sheetPr>
  <dimension ref="A1:X42"/>
  <sheetViews>
    <sheetView workbookViewId="0">
      <selection activeCell="U10" sqref="U10"/>
    </sheetView>
  </sheetViews>
  <sheetFormatPr defaultColWidth="12.5703125" defaultRowHeight="15.75" customHeight="1"/>
  <cols>
    <col min="1" max="9" width="12.7109375" style="54" customWidth="1"/>
    <col min="10" max="16384" width="12.5703125" style="54"/>
  </cols>
  <sheetData>
    <row r="1" spans="1:24" ht="15.75" customHeight="1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/>
      <c r="I1"/>
      <c r="J1" s="48" t="s">
        <v>614</v>
      </c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4" ht="15.75" customHeight="1">
      <c r="A2">
        <v>22</v>
      </c>
      <c r="B2">
        <v>5</v>
      </c>
      <c r="C2">
        <v>8</v>
      </c>
      <c r="D2">
        <v>78</v>
      </c>
      <c r="E2">
        <v>98</v>
      </c>
      <c r="F2">
        <v>13</v>
      </c>
      <c r="G2">
        <v>21</v>
      </c>
      <c r="H2"/>
      <c r="I2"/>
      <c r="J2">
        <v>2</v>
      </c>
      <c r="K2"/>
      <c r="L2"/>
      <c r="M2"/>
      <c r="N2"/>
      <c r="O2"/>
      <c r="P2"/>
      <c r="Q2"/>
      <c r="R2"/>
      <c r="S2"/>
      <c r="T2"/>
      <c r="U2"/>
      <c r="V2"/>
      <c r="W2"/>
      <c r="X2"/>
    </row>
    <row r="3" spans="1:24" ht="15.75" customHeight="1">
      <c r="A3">
        <v>8</v>
      </c>
      <c r="B3">
        <v>4</v>
      </c>
      <c r="C3">
        <v>10</v>
      </c>
      <c r="D3">
        <v>11</v>
      </c>
      <c r="E3">
        <v>17</v>
      </c>
      <c r="F3">
        <v>66</v>
      </c>
      <c r="G3">
        <v>14</v>
      </c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</row>
    <row r="4" spans="1:24" ht="15.75" customHeight="1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</row>
    <row r="5" spans="1:24" ht="15.75" customHeight="1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</row>
    <row r="6" spans="1:24" ht="15.75" customHeight="1">
      <c r="A6" s="86"/>
      <c r="B6" s="86"/>
      <c r="C6" s="86"/>
      <c r="D6" s="87" t="s">
        <v>27</v>
      </c>
      <c r="E6" s="86"/>
      <c r="F6" s="86"/>
      <c r="G6" s="8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</row>
    <row r="7" spans="1:24" ht="15.75" customHeight="1">
      <c r="A7">
        <v>9</v>
      </c>
      <c r="B7">
        <v>88</v>
      </c>
      <c r="C7">
        <v>79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</row>
    <row r="8" spans="1:24" ht="15.75" customHeight="1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</row>
    <row r="9" spans="1:24" ht="15.75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 spans="1:24" ht="15.75" customHeight="1">
      <c r="A10" cm="1">
        <f t="array" ref="A10:C11">_xlfn.LET(
_xlpm.n, J2,
_xlpm.data, A2:G3,
_xlpm.seq, _xlfn.SEQUENCE(1, COLUMNS(_xlpm.data)),
_xlpm.filter, _xlfn._xlws.FILTER(_xlpm.data, MOD(_xlpm.seq, _xlpm.n) = 0),
_xlpm.res, _xlfn.BYCOL(_xlpm.filter, _xleta.SUM),
_xlpm.filter)</f>
        <v>5</v>
      </c>
      <c r="B10">
        <v>78</v>
      </c>
      <c r="C10">
        <v>13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</row>
    <row r="11" spans="1:24" ht="15.75" customHeight="1">
      <c r="A11">
        <v>4</v>
      </c>
      <c r="B11">
        <v>11</v>
      </c>
      <c r="C11">
        <v>66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</row>
    <row r="12" spans="1:24" ht="15.75" customHeigh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</row>
    <row r="13" spans="1:24" ht="15.75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</row>
    <row r="14" spans="1:24" ht="15.75" customHeigh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</row>
    <row r="15" spans="1:24" ht="15.75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</row>
    <row r="16" spans="1:24" ht="15.75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  <row r="17" spans="1:24" ht="15.75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</row>
    <row r="18" spans="1:24" ht="15.75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</row>
    <row r="19" spans="1:24" ht="15.75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</row>
    <row r="20" spans="1:24" ht="15.75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</row>
    <row r="21" spans="1:24" ht="15.75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</row>
    <row r="22" spans="1:24" ht="15.75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</row>
    <row r="23" spans="1:24" ht="15.75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</row>
    <row r="24" spans="1:24" ht="15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</row>
    <row r="25" spans="1:24" ht="15.75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</row>
    <row r="26" spans="1:24" ht="15.75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</row>
    <row r="27" spans="1:24" ht="15.75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</row>
    <row r="28" spans="1:24" ht="15.75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</row>
    <row r="29" spans="1:24" ht="15.75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</row>
    <row r="30" spans="1:24" ht="15.75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</row>
    <row r="31" spans="1:24" ht="15.75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</row>
    <row r="32" spans="1:24" ht="15.75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</row>
    <row r="33" spans="1:24" ht="15.75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</row>
    <row r="34" spans="1:24" ht="15.75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</row>
    <row r="35" spans="1:24" ht="15.75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</row>
    <row r="36" spans="1:24" ht="15.75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</row>
    <row r="37" spans="1:24" ht="15.75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</row>
    <row r="38" spans="1:24" ht="15.75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</row>
    <row r="39" spans="1:24" ht="15.75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</row>
    <row r="40" spans="1:24" ht="15.75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</row>
    <row r="41" spans="1:24" ht="15.7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</row>
    <row r="42" spans="1:24" ht="15.7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03B25-5F4D-4F3B-A16C-B0628B1D5533}">
  <sheetPr>
    <outlinePr summaryBelow="0" summaryRight="0"/>
  </sheetPr>
  <dimension ref="A1:X42"/>
  <sheetViews>
    <sheetView workbookViewId="0">
      <selection activeCell="N20" sqref="N20"/>
    </sheetView>
  </sheetViews>
  <sheetFormatPr defaultColWidth="12.5703125" defaultRowHeight="15.75" customHeight="1"/>
  <cols>
    <col min="1" max="4" width="3" style="54" bestFit="1" customWidth="1"/>
    <col min="5" max="5" width="12.5703125" style="54"/>
    <col min="6" max="9" width="3" style="54" bestFit="1" customWidth="1"/>
    <col min="10" max="16384" width="12.5703125" style="54"/>
  </cols>
  <sheetData>
    <row r="1" spans="1:24" ht="15.75" customHeight="1" thickBot="1">
      <c r="A1" s="49" t="s">
        <v>69</v>
      </c>
      <c r="B1" s="49" t="s">
        <v>73</v>
      </c>
      <c r="C1" s="49" t="s">
        <v>124</v>
      </c>
      <c r="D1" s="49" t="s">
        <v>125</v>
      </c>
      <c r="E1" s="80"/>
      <c r="F1" s="50" t="s">
        <v>69</v>
      </c>
      <c r="G1" s="50" t="s">
        <v>73</v>
      </c>
      <c r="H1" s="50" t="s">
        <v>124</v>
      </c>
      <c r="I1" s="50" t="s">
        <v>125</v>
      </c>
      <c r="J1" s="80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4" ht="15.75" customHeight="1" thickBot="1">
      <c r="A2" s="85">
        <v>1</v>
      </c>
      <c r="B2" s="82">
        <v>2</v>
      </c>
      <c r="C2" s="82">
        <v>3</v>
      </c>
      <c r="D2" s="82">
        <v>4</v>
      </c>
      <c r="E2" s="80"/>
      <c r="F2" s="82">
        <v>28</v>
      </c>
      <c r="G2" s="82">
        <v>30</v>
      </c>
      <c r="H2" s="82">
        <v>26</v>
      </c>
      <c r="I2" s="82">
        <v>16</v>
      </c>
      <c r="J2" s="80"/>
      <c r="K2"/>
      <c r="L2"/>
      <c r="M2"/>
      <c r="N2" cm="1">
        <f t="array" ref="N2:Q2">_xlfn.LET(
_xlpm.data, A2:D5,
_xlpm.dim, ROWS(_xlpm.data),
_xlpm.colSeq, _xlfn.SEQUENCE(1, _xlpm.dim),
_xlpm.map, _xlfn.MAP(_xlpm.colSeq, _xlfn.LAMBDA(_xlpm.col, SUM(_xlfn.CHOOSECOLS(_xlpm.data * _xlfn.MAKEARRAY(_xlpm.dim,_xlpm.dim,_xlfn.LAMBDA(_xlpm.r,_xlpm.c, IF( _xlpm.r&gt;=_xlpm.c,1,0))), _xlpm.col)))),
_xlpm.map)</f>
        <v>28</v>
      </c>
      <c r="O2">
        <v>30</v>
      </c>
      <c r="P2">
        <v>26</v>
      </c>
      <c r="Q2">
        <v>16</v>
      </c>
      <c r="R2"/>
      <c r="S2"/>
      <c r="T2"/>
      <c r="U2"/>
      <c r="V2"/>
      <c r="W2"/>
      <c r="X2"/>
    </row>
    <row r="3" spans="1:24" ht="15.75" customHeight="1" thickBot="1">
      <c r="A3" s="85">
        <v>5</v>
      </c>
      <c r="B3" s="85">
        <v>6</v>
      </c>
      <c r="C3" s="82">
        <v>7</v>
      </c>
      <c r="D3" s="82">
        <v>8</v>
      </c>
      <c r="E3" s="80"/>
      <c r="F3" s="80"/>
      <c r="G3" s="80"/>
      <c r="H3" s="80"/>
      <c r="I3" s="80"/>
      <c r="J3" s="80"/>
      <c r="K3"/>
      <c r="L3"/>
      <c r="M3"/>
      <c r="N3" t="b" cm="1">
        <f t="array" ref="N3:Q3">_xlfn.ANCHORARRAY(N2)=F2:I2</f>
        <v>1</v>
      </c>
      <c r="O3" t="b">
        <v>1</v>
      </c>
      <c r="P3" t="b">
        <v>1</v>
      </c>
      <c r="Q3" t="b">
        <v>1</v>
      </c>
      <c r="R3"/>
      <c r="S3"/>
      <c r="T3"/>
      <c r="U3"/>
      <c r="V3"/>
      <c r="W3"/>
      <c r="X3"/>
    </row>
    <row r="4" spans="1:24" ht="15.75" customHeight="1" thickBot="1">
      <c r="A4" s="85">
        <v>9</v>
      </c>
      <c r="B4" s="85">
        <v>10</v>
      </c>
      <c r="C4" s="85">
        <v>11</v>
      </c>
      <c r="D4" s="82">
        <v>12</v>
      </c>
      <c r="E4" s="80"/>
      <c r="F4" s="80"/>
      <c r="G4" s="80"/>
      <c r="H4" s="80"/>
      <c r="I4" s="80"/>
      <c r="J4" s="80"/>
      <c r="K4"/>
      <c r="L4"/>
      <c r="M4"/>
      <c r="N4"/>
      <c r="O4"/>
      <c r="P4"/>
      <c r="Q4"/>
      <c r="R4"/>
      <c r="S4"/>
      <c r="T4"/>
      <c r="U4"/>
      <c r="V4"/>
      <c r="W4"/>
      <c r="X4"/>
    </row>
    <row r="5" spans="1:24" ht="15.75" customHeight="1" thickBot="1">
      <c r="A5" s="85">
        <v>13</v>
      </c>
      <c r="B5" s="85">
        <v>14</v>
      </c>
      <c r="C5" s="85">
        <v>15</v>
      </c>
      <c r="D5" s="85">
        <v>16</v>
      </c>
      <c r="E5" s="80"/>
      <c r="F5" s="80"/>
      <c r="G5" s="80"/>
      <c r="H5" s="80"/>
      <c r="I5" s="80"/>
      <c r="J5" s="80"/>
      <c r="K5"/>
      <c r="L5"/>
      <c r="M5"/>
      <c r="N5"/>
      <c r="O5"/>
      <c r="P5"/>
      <c r="Q5"/>
      <c r="R5"/>
      <c r="S5"/>
      <c r="T5"/>
      <c r="U5"/>
      <c r="V5"/>
      <c r="W5"/>
      <c r="X5"/>
    </row>
    <row r="6" spans="1:24" ht="15.75" customHeight="1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</row>
    <row r="7" spans="1:24" ht="15.75" customHeight="1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</row>
    <row r="8" spans="1:24" ht="15.75" customHeight="1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</row>
    <row r="9" spans="1:24" ht="15.75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 spans="1:24" ht="15.75" customHeigh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</row>
    <row r="11" spans="1:24" ht="15.75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</row>
    <row r="12" spans="1:24" ht="15.75" customHeigh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</row>
    <row r="13" spans="1:24" ht="15.75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</row>
    <row r="14" spans="1:24" ht="15.75" customHeigh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</row>
    <row r="15" spans="1:24" ht="15.75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</row>
    <row r="16" spans="1:24" ht="15.75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  <row r="17" spans="1:24" ht="15.75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</row>
    <row r="18" spans="1:24" ht="15.75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</row>
    <row r="19" spans="1:24" ht="15.75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</row>
    <row r="20" spans="1:24" ht="15.75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</row>
    <row r="21" spans="1:24" ht="15.75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</row>
    <row r="22" spans="1:24" ht="15.75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</row>
    <row r="23" spans="1:24" ht="15.75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</row>
    <row r="24" spans="1:24" ht="15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</row>
    <row r="25" spans="1:24" ht="15.75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</row>
    <row r="26" spans="1:24" ht="15.75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</row>
    <row r="27" spans="1:24" ht="15.75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</row>
    <row r="28" spans="1:24" ht="15.75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</row>
    <row r="29" spans="1:24" ht="15.75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</row>
    <row r="30" spans="1:24" ht="15.75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</row>
    <row r="31" spans="1:24" ht="15.75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</row>
    <row r="32" spans="1:24" ht="15.75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</row>
    <row r="33" spans="1:24" ht="15.75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</row>
    <row r="34" spans="1:24" ht="15.75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</row>
    <row r="35" spans="1:24" ht="15.75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</row>
    <row r="36" spans="1:24" ht="15.75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</row>
    <row r="37" spans="1:24" ht="15.75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</row>
    <row r="38" spans="1:24" ht="15.75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</row>
    <row r="39" spans="1:24" ht="15.75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</row>
    <row r="40" spans="1:24" ht="15.75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</row>
    <row r="41" spans="1:24" ht="15.7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</row>
    <row r="42" spans="1:24" ht="15.7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4E27F-0F43-46FB-9085-1756997FAAF5}">
  <sheetPr>
    <outlinePr summaryBelow="0" summaryRight="0"/>
  </sheetPr>
  <dimension ref="A1:X42"/>
  <sheetViews>
    <sheetView workbookViewId="0">
      <selection activeCell="W10" sqref="W10"/>
    </sheetView>
  </sheetViews>
  <sheetFormatPr defaultColWidth="12.5703125" defaultRowHeight="15.75" customHeight="1"/>
  <cols>
    <col min="1" max="4" width="3" style="54" bestFit="1" customWidth="1"/>
    <col min="5" max="5" width="14.42578125" style="54" customWidth="1"/>
    <col min="6" max="6" width="13.85546875" style="54" bestFit="1" customWidth="1"/>
    <col min="7" max="7" width="16.42578125" style="54" bestFit="1" customWidth="1"/>
    <col min="8" max="8" width="12.5703125" style="54"/>
    <col min="9" max="9" width="12.7109375" style="54" bestFit="1" customWidth="1"/>
    <col min="10" max="10" width="15.42578125" style="54" bestFit="1" customWidth="1"/>
    <col min="11" max="16384" width="12.5703125" style="54"/>
  </cols>
  <sheetData>
    <row r="1" spans="1:24" ht="15.75" customHeight="1" thickBot="1">
      <c r="A1" s="49" t="s">
        <v>69</v>
      </c>
      <c r="B1" s="49" t="s">
        <v>73</v>
      </c>
      <c r="C1" s="49" t="s">
        <v>124</v>
      </c>
      <c r="D1" s="49" t="s">
        <v>125</v>
      </c>
      <c r="E1" s="80"/>
      <c r="F1" s="50" t="s">
        <v>612</v>
      </c>
      <c r="G1" s="50" t="s">
        <v>613</v>
      </c>
      <c r="H1"/>
      <c r="I1" t="str" cm="1">
        <f t="array" ref="I1:J5">_xlfn.LET(
_xlpm.data,A2:D5,
_xlpm.dim, ROWS(_xlpm.data),
_xlpm.seq, _xlfn.SEQUENCE(_xlpm.dim),
_xlpm.mainDiag, _xlfn.MAP(_xlpm.seq, _xlfn.LAMBDA(_xlpm.r, INDEX(_xlpm.data, _xlpm.r, _xlpm.r))),
_xlpm.secondaryDiag, _xlfn.MAP(_xlpm.seq, _xlfn.LAMBDA(_xlpm.r, INDEX(_xlpm.data, _xlpm.r, _xlpm.dim - _xlpm.r + 1))),
_xlpm.res, _xlfn.VSTACK({"Main Diagonal","Reverse Diagonal"},_xlfn.HSTACK(_xlpm.mainDiag,_xlpm.secondaryDiag)),
_xlpm.res)</f>
        <v>Main Diagonal</v>
      </c>
      <c r="J1" t="str">
        <v>Reverse Diagonal</v>
      </c>
      <c r="K1"/>
      <c r="L1" t="b" cm="1">
        <f t="array" ref="L1:M5">_xlfn.ANCHORARRAY(I1)=F1:G5</f>
        <v>1</v>
      </c>
      <c r="M1" t="b">
        <v>1</v>
      </c>
      <c r="N1"/>
      <c r="O1"/>
      <c r="P1"/>
      <c r="Q1"/>
      <c r="R1"/>
      <c r="S1"/>
      <c r="T1"/>
      <c r="U1"/>
      <c r="V1"/>
      <c r="W1"/>
      <c r="X1"/>
    </row>
    <row r="2" spans="1:24" ht="15.75" customHeight="1" thickBot="1">
      <c r="A2" s="83">
        <v>11</v>
      </c>
      <c r="B2" s="82">
        <v>22</v>
      </c>
      <c r="C2" s="82">
        <v>33</v>
      </c>
      <c r="D2" s="84">
        <v>44</v>
      </c>
      <c r="E2" s="80"/>
      <c r="F2" s="82">
        <v>11</v>
      </c>
      <c r="G2" s="82">
        <v>44</v>
      </c>
      <c r="H2"/>
      <c r="I2">
        <v>11</v>
      </c>
      <c r="J2">
        <v>44</v>
      </c>
      <c r="K2"/>
      <c r="L2" t="b">
        <v>1</v>
      </c>
      <c r="M2" t="b">
        <v>1</v>
      </c>
      <c r="N2"/>
      <c r="O2"/>
      <c r="P2"/>
      <c r="Q2"/>
      <c r="R2"/>
      <c r="S2"/>
      <c r="U2"/>
      <c r="V2"/>
      <c r="W2"/>
      <c r="X2"/>
    </row>
    <row r="3" spans="1:24" ht="15.75" customHeight="1" thickBot="1">
      <c r="A3" s="82">
        <v>55</v>
      </c>
      <c r="B3" s="83">
        <v>66</v>
      </c>
      <c r="C3" s="84">
        <v>77</v>
      </c>
      <c r="D3" s="82">
        <v>88</v>
      </c>
      <c r="E3" s="80"/>
      <c r="F3" s="82">
        <v>66</v>
      </c>
      <c r="G3" s="82">
        <v>77</v>
      </c>
      <c r="H3"/>
      <c r="I3">
        <v>66</v>
      </c>
      <c r="J3">
        <v>77</v>
      </c>
      <c r="K3"/>
      <c r="L3" t="b">
        <v>1</v>
      </c>
      <c r="M3" t="b">
        <v>1</v>
      </c>
      <c r="N3"/>
      <c r="O3"/>
      <c r="P3"/>
      <c r="Q3"/>
      <c r="R3"/>
      <c r="S3"/>
      <c r="T3"/>
      <c r="U3"/>
      <c r="V3"/>
      <c r="W3"/>
      <c r="X3"/>
    </row>
    <row r="4" spans="1:24" ht="15.75" customHeight="1" thickBot="1">
      <c r="A4" s="82">
        <v>99</v>
      </c>
      <c r="B4" s="84">
        <v>10</v>
      </c>
      <c r="C4" s="83">
        <v>20</v>
      </c>
      <c r="D4" s="82">
        <v>30</v>
      </c>
      <c r="E4" s="80"/>
      <c r="F4" s="82">
        <v>20</v>
      </c>
      <c r="G4" s="82">
        <v>10</v>
      </c>
      <c r="H4"/>
      <c r="I4">
        <v>20</v>
      </c>
      <c r="J4">
        <v>10</v>
      </c>
      <c r="K4"/>
      <c r="L4" t="b">
        <v>1</v>
      </c>
      <c r="M4" t="b">
        <v>1</v>
      </c>
      <c r="N4"/>
      <c r="O4"/>
      <c r="P4"/>
      <c r="Q4"/>
      <c r="R4"/>
      <c r="S4"/>
      <c r="T4"/>
      <c r="U4"/>
      <c r="V4"/>
      <c r="W4"/>
      <c r="X4"/>
    </row>
    <row r="5" spans="1:24" ht="15.75" customHeight="1" thickBot="1">
      <c r="A5" s="84">
        <v>40</v>
      </c>
      <c r="B5" s="82">
        <v>50</v>
      </c>
      <c r="C5" s="82">
        <v>60</v>
      </c>
      <c r="D5" s="83">
        <v>70</v>
      </c>
      <c r="E5" s="80"/>
      <c r="F5" s="82">
        <v>70</v>
      </c>
      <c r="G5" s="82">
        <v>40</v>
      </c>
      <c r="H5"/>
      <c r="I5">
        <v>70</v>
      </c>
      <c r="J5">
        <v>40</v>
      </c>
      <c r="K5"/>
      <c r="L5" t="b">
        <v>1</v>
      </c>
      <c r="M5" t="b">
        <v>1</v>
      </c>
      <c r="N5"/>
      <c r="O5"/>
      <c r="P5"/>
      <c r="Q5"/>
      <c r="R5"/>
      <c r="S5"/>
      <c r="T5"/>
      <c r="U5"/>
      <c r="V5"/>
      <c r="W5"/>
      <c r="X5"/>
    </row>
    <row r="6" spans="1:24" ht="15.75" customHeight="1" thickBot="1">
      <c r="A6" s="80"/>
      <c r="B6" s="80"/>
      <c r="C6" s="80"/>
      <c r="D6" s="80"/>
      <c r="E6" s="80"/>
      <c r="F6" s="80"/>
      <c r="G6" s="80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</row>
    <row r="7" spans="1:24" ht="15.75" customHeight="1" thickBot="1">
      <c r="A7" s="80"/>
      <c r="B7" s="80"/>
      <c r="C7" s="80"/>
      <c r="D7" s="80"/>
      <c r="E7" s="80"/>
      <c r="F7" s="80"/>
      <c r="G7" s="80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</row>
    <row r="8" spans="1:24" ht="15.75" customHeight="1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</row>
    <row r="9" spans="1:24" ht="15.75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 spans="1:24" ht="15.75" customHeigh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</row>
    <row r="11" spans="1:24" ht="15.75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</row>
    <row r="12" spans="1:24" ht="15.75" customHeigh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</row>
    <row r="13" spans="1:24" ht="15.75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</row>
    <row r="14" spans="1:24" ht="15.75" customHeigh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</row>
    <row r="15" spans="1:24" ht="15.75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</row>
    <row r="16" spans="1:24" ht="15.75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  <row r="17" spans="1:24" ht="15.75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</row>
    <row r="18" spans="1:24" ht="15.75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</row>
    <row r="19" spans="1:24" ht="15.75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</row>
    <row r="20" spans="1:24" ht="15.75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</row>
    <row r="21" spans="1:24" ht="15.75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</row>
    <row r="22" spans="1:24" ht="15.75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</row>
    <row r="23" spans="1:24" ht="15.75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</row>
    <row r="24" spans="1:24" ht="15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</row>
    <row r="25" spans="1:24" ht="15.75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</row>
    <row r="26" spans="1:24" ht="15.75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</row>
    <row r="27" spans="1:24" ht="15.75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</row>
    <row r="28" spans="1:24" ht="15.75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</row>
    <row r="29" spans="1:24" ht="15.75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</row>
    <row r="30" spans="1:24" ht="15.75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</row>
    <row r="31" spans="1:24" ht="15.75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</row>
    <row r="32" spans="1:24" ht="15.75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</row>
    <row r="33" spans="1:24" ht="15.75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</row>
    <row r="34" spans="1:24" ht="15.75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</row>
    <row r="35" spans="1:24" ht="15.75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</row>
    <row r="36" spans="1:24" ht="15.75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</row>
    <row r="37" spans="1:24" ht="15.75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</row>
    <row r="38" spans="1:24" ht="15.75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</row>
    <row r="39" spans="1:24" ht="15.75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</row>
    <row r="40" spans="1:24" ht="15.75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</row>
    <row r="41" spans="1:24" ht="15.7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</row>
    <row r="42" spans="1:24" ht="15.7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2B505-6218-4651-AD46-7E4CDC4E2BD6}">
  <sheetPr>
    <outlinePr summaryBelow="0" summaryRight="0"/>
  </sheetPr>
  <dimension ref="A1:X42"/>
  <sheetViews>
    <sheetView zoomScale="130" zoomScaleNormal="130" workbookViewId="0">
      <selection activeCell="O1" sqref="O1"/>
    </sheetView>
  </sheetViews>
  <sheetFormatPr defaultColWidth="12.5703125" defaultRowHeight="15.75" customHeight="1"/>
  <cols>
    <col min="1" max="5" width="3" style="54" bestFit="1" customWidth="1"/>
    <col min="6" max="6" width="12.5703125" style="54"/>
    <col min="7" max="11" width="3" style="54" bestFit="1" customWidth="1"/>
    <col min="12" max="14" width="12.5703125" style="54"/>
    <col min="15" max="19" width="9.28515625" style="54" bestFit="1" customWidth="1"/>
    <col min="20" max="16384" width="12.5703125" style="54"/>
  </cols>
  <sheetData>
    <row r="1" spans="1:24" ht="15.75" customHeight="1" thickBot="1">
      <c r="A1" s="51" t="s">
        <v>69</v>
      </c>
      <c r="B1" s="51" t="s">
        <v>73</v>
      </c>
      <c r="C1" s="51" t="s">
        <v>124</v>
      </c>
      <c r="D1" s="51" t="s">
        <v>125</v>
      </c>
      <c r="E1" s="51" t="s">
        <v>126</v>
      </c>
      <c r="F1" s="80"/>
      <c r="G1" s="81" t="s">
        <v>69</v>
      </c>
      <c r="H1" s="81" t="s">
        <v>73</v>
      </c>
      <c r="I1" s="81" t="s">
        <v>124</v>
      </c>
      <c r="J1" s="81" t="s">
        <v>125</v>
      </c>
      <c r="K1" s="81" t="s">
        <v>126</v>
      </c>
      <c r="L1" s="80"/>
      <c r="M1" s="80"/>
      <c r="N1"/>
      <c r="O1" s="44" cm="1">
        <f t="array" ref="O1:S5">_xlfn.LET(
_xlpm.data, A2:E6,
_xlpm.r, ROWS(_xlpm.data),
_xlpm.c, COLUMNS(_xlpm.data),
_xlpm.seqR, _xlfn.SEQUENCE(_xlpm.r,1,0),
_xlpm.seqC, _xlfn.SEQUENCE(1,_xlpm.c),
_xlpm.red, _xlfn.DROP(_xlfn.REDUCE("", _xlpm.seqR, _xlfn.LAMBDA(_xlpm.state,_xlpm.curr, _xlfn.VSTACK(_xlpm.state, INDEX(_xlfn.CHOOSEROWS(_xlpm.data, _xlpm.curr + 1), 1,IF(MOD(_xlfn.SEQUENCE(1,_xlpm.r,1,1)+_xlpm.r-_xlpm.curr,_xlpm.r),MOD(_xlfn.SEQUENCE(1,_xlpm.r,1,1)+_xlpm.r-_xlpm.curr,_xlpm.r),_xlpm.r))))),1),
_xlpm.red)</f>
        <v>11</v>
      </c>
      <c r="P1">
        <v>22</v>
      </c>
      <c r="Q1">
        <v>33</v>
      </c>
      <c r="R1">
        <v>44</v>
      </c>
      <c r="S1">
        <v>55</v>
      </c>
      <c r="W1"/>
      <c r="X1"/>
    </row>
    <row r="2" spans="1:24" ht="15.75" customHeight="1" thickBot="1">
      <c r="A2" s="82">
        <v>11</v>
      </c>
      <c r="B2" s="82">
        <v>22</v>
      </c>
      <c r="C2" s="82">
        <v>33</v>
      </c>
      <c r="D2" s="82">
        <v>44</v>
      </c>
      <c r="E2" s="82">
        <v>55</v>
      </c>
      <c r="F2" s="80"/>
      <c r="G2" s="82">
        <v>11</v>
      </c>
      <c r="H2" s="82">
        <v>22</v>
      </c>
      <c r="I2" s="82">
        <v>33</v>
      </c>
      <c r="J2" s="82">
        <v>44</v>
      </c>
      <c r="K2" s="82">
        <v>55</v>
      </c>
      <c r="L2" s="80"/>
      <c r="M2" s="80"/>
      <c r="N2"/>
      <c r="O2">
        <v>10</v>
      </c>
      <c r="P2">
        <v>66</v>
      </c>
      <c r="Q2">
        <v>77</v>
      </c>
      <c r="R2">
        <v>88</v>
      </c>
      <c r="S2">
        <v>99</v>
      </c>
      <c r="T2"/>
      <c r="U2"/>
      <c r="V2"/>
      <c r="W2"/>
      <c r="X2"/>
    </row>
    <row r="3" spans="1:24" ht="15.75" customHeight="1" thickBot="1">
      <c r="A3" s="82">
        <v>66</v>
      </c>
      <c r="B3" s="82">
        <v>77</v>
      </c>
      <c r="C3" s="82">
        <v>88</v>
      </c>
      <c r="D3" s="82">
        <v>99</v>
      </c>
      <c r="E3" s="82">
        <v>10</v>
      </c>
      <c r="F3" s="80"/>
      <c r="G3" s="82">
        <v>10</v>
      </c>
      <c r="H3" s="82">
        <v>66</v>
      </c>
      <c r="I3" s="82">
        <v>77</v>
      </c>
      <c r="J3" s="82">
        <v>88</v>
      </c>
      <c r="K3" s="82">
        <v>99</v>
      </c>
      <c r="L3" s="80"/>
      <c r="M3" s="80"/>
      <c r="N3"/>
      <c r="O3">
        <v>51</v>
      </c>
      <c r="P3">
        <v>61</v>
      </c>
      <c r="Q3">
        <v>21</v>
      </c>
      <c r="R3">
        <v>31</v>
      </c>
      <c r="S3">
        <v>41</v>
      </c>
      <c r="T3"/>
      <c r="U3"/>
      <c r="V3"/>
      <c r="W3"/>
      <c r="X3"/>
    </row>
    <row r="4" spans="1:24" ht="15.75" customHeight="1" thickBot="1">
      <c r="A4" s="82">
        <v>21</v>
      </c>
      <c r="B4" s="82">
        <v>31</v>
      </c>
      <c r="C4" s="82">
        <v>41</v>
      </c>
      <c r="D4" s="82">
        <v>51</v>
      </c>
      <c r="E4" s="82">
        <v>61</v>
      </c>
      <c r="F4" s="80"/>
      <c r="G4" s="82">
        <v>51</v>
      </c>
      <c r="H4" s="82">
        <v>61</v>
      </c>
      <c r="I4" s="82">
        <v>21</v>
      </c>
      <c r="J4" s="82">
        <v>31</v>
      </c>
      <c r="K4" s="82">
        <v>41</v>
      </c>
      <c r="L4" s="80"/>
      <c r="M4" s="80"/>
      <c r="N4"/>
      <c r="O4">
        <v>91</v>
      </c>
      <c r="P4">
        <v>12</v>
      </c>
      <c r="Q4">
        <v>22</v>
      </c>
      <c r="R4">
        <v>71</v>
      </c>
      <c r="S4">
        <v>81</v>
      </c>
      <c r="T4"/>
      <c r="U4"/>
      <c r="V4"/>
      <c r="W4"/>
      <c r="X4"/>
    </row>
    <row r="5" spans="1:24" ht="15.75" customHeight="1" thickBot="1">
      <c r="A5" s="82">
        <v>71</v>
      </c>
      <c r="B5" s="82">
        <v>81</v>
      </c>
      <c r="C5" s="82">
        <v>91</v>
      </c>
      <c r="D5" s="82">
        <v>12</v>
      </c>
      <c r="E5" s="82">
        <v>22</v>
      </c>
      <c r="F5" s="80"/>
      <c r="G5" s="82">
        <v>91</v>
      </c>
      <c r="H5" s="82">
        <v>12</v>
      </c>
      <c r="I5" s="82">
        <v>22</v>
      </c>
      <c r="J5" s="82">
        <v>71</v>
      </c>
      <c r="K5" s="82">
        <v>81</v>
      </c>
      <c r="L5" s="80"/>
      <c r="M5" s="80"/>
      <c r="N5"/>
      <c r="O5">
        <v>42</v>
      </c>
      <c r="P5">
        <v>52</v>
      </c>
      <c r="Q5">
        <v>62</v>
      </c>
      <c r="R5">
        <v>72</v>
      </c>
      <c r="S5">
        <v>32</v>
      </c>
      <c r="T5"/>
      <c r="U5"/>
      <c r="V5"/>
      <c r="W5"/>
      <c r="X5"/>
    </row>
    <row r="6" spans="1:24" ht="15.75" customHeight="1" thickBot="1">
      <c r="A6" s="82">
        <v>32</v>
      </c>
      <c r="B6" s="82">
        <v>42</v>
      </c>
      <c r="C6" s="82">
        <v>52</v>
      </c>
      <c r="D6" s="82">
        <v>62</v>
      </c>
      <c r="E6" s="82">
        <v>72</v>
      </c>
      <c r="F6" s="80"/>
      <c r="G6" s="82">
        <v>42</v>
      </c>
      <c r="H6" s="82">
        <v>52</v>
      </c>
      <c r="I6" s="82">
        <v>62</v>
      </c>
      <c r="J6" s="82">
        <v>72</v>
      </c>
      <c r="K6" s="82">
        <v>32</v>
      </c>
      <c r="L6" s="80"/>
      <c r="M6" s="80"/>
      <c r="N6"/>
      <c r="O6"/>
      <c r="P6"/>
      <c r="Q6"/>
      <c r="R6"/>
      <c r="S6"/>
      <c r="T6"/>
      <c r="U6"/>
      <c r="V6"/>
      <c r="W6"/>
      <c r="X6"/>
    </row>
    <row r="7" spans="1:24" ht="15.75" customHeight="1" thickBot="1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/>
      <c r="O7" t="b" cm="1">
        <f t="array" ref="O7:S11">_xlfn.ANCHORARRAY(O1)=G2:K6</f>
        <v>1</v>
      </c>
      <c r="P7" t="b">
        <v>1</v>
      </c>
      <c r="Q7" t="b">
        <v>1</v>
      </c>
      <c r="R7" t="b">
        <v>1</v>
      </c>
      <c r="S7" t="b">
        <v>1</v>
      </c>
      <c r="T7"/>
      <c r="U7"/>
      <c r="V7"/>
      <c r="W7"/>
      <c r="X7"/>
    </row>
    <row r="8" spans="1:24" ht="15.75" customHeight="1" thickBot="1">
      <c r="A8" s="80"/>
      <c r="B8" s="80"/>
      <c r="C8" s="80"/>
      <c r="D8" s="80"/>
      <c r="E8" s="80"/>
      <c r="F8" s="80"/>
      <c r="G8" s="80"/>
      <c r="H8" s="80"/>
      <c r="I8" s="80"/>
      <c r="J8"/>
      <c r="K8" s="80"/>
      <c r="L8" s="80"/>
      <c r="M8" s="80"/>
      <c r="N8"/>
      <c r="O8" t="b">
        <v>1</v>
      </c>
      <c r="P8" t="b">
        <v>1</v>
      </c>
      <c r="Q8" t="b">
        <v>1</v>
      </c>
      <c r="R8" t="b">
        <v>1</v>
      </c>
      <c r="S8" t="b">
        <v>1</v>
      </c>
      <c r="W8"/>
      <c r="X8"/>
    </row>
    <row r="9" spans="1:24" ht="15.75" customHeight="1" thickBot="1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/>
      <c r="O9" t="b">
        <v>1</v>
      </c>
      <c r="P9" t="b">
        <v>1</v>
      </c>
      <c r="Q9" t="b">
        <v>1</v>
      </c>
      <c r="R9" t="b">
        <v>1</v>
      </c>
      <c r="S9" t="b">
        <v>1</v>
      </c>
      <c r="W9"/>
      <c r="X9"/>
    </row>
    <row r="10" spans="1:24" ht="15.75" customHeight="1" thickBot="1">
      <c r="A10" s="80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/>
      <c r="O10" t="b">
        <v>1</v>
      </c>
      <c r="P10" t="b">
        <v>1</v>
      </c>
      <c r="Q10" t="b">
        <v>1</v>
      </c>
      <c r="R10" t="b">
        <v>1</v>
      </c>
      <c r="S10" t="b">
        <v>1</v>
      </c>
      <c r="W10"/>
      <c r="X10"/>
    </row>
    <row r="11" spans="1:24" ht="15.75" customHeight="1" thickBot="1">
      <c r="A11" s="80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/>
      <c r="O11" t="b">
        <v>1</v>
      </c>
      <c r="P11" t="b">
        <v>1</v>
      </c>
      <c r="Q11" t="b">
        <v>1</v>
      </c>
      <c r="R11" t="b">
        <v>1</v>
      </c>
      <c r="S11" t="b">
        <v>1</v>
      </c>
      <c r="W11"/>
      <c r="X11"/>
    </row>
    <row r="12" spans="1:24" ht="15.75" customHeight="1" thickBot="1">
      <c r="A12" s="80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/>
      <c r="O12"/>
      <c r="P12"/>
      <c r="Q12"/>
      <c r="W12"/>
      <c r="X12"/>
    </row>
    <row r="13" spans="1:24" ht="15.75" customHeight="1" thickBot="1">
      <c r="A13" s="80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/>
      <c r="O13"/>
      <c r="P13"/>
      <c r="Q13"/>
      <c r="W13"/>
      <c r="X13"/>
    </row>
    <row r="14" spans="1:24" ht="15.75" customHeight="1" thickBot="1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/>
      <c r="O14"/>
      <c r="P14"/>
      <c r="Q14"/>
      <c r="W14"/>
      <c r="X14"/>
    </row>
    <row r="15" spans="1:24" ht="15.75" customHeight="1" thickBot="1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/>
      <c r="O15"/>
      <c r="P15"/>
      <c r="Q15"/>
      <c r="W15"/>
      <c r="X15"/>
    </row>
    <row r="16" spans="1:24" ht="15.75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W16"/>
      <c r="X16"/>
    </row>
    <row r="17" spans="1:24" ht="15.75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W17"/>
      <c r="X17"/>
    </row>
    <row r="18" spans="1:24" ht="15.75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W18"/>
      <c r="X18"/>
    </row>
    <row r="19" spans="1:24" ht="15.75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</row>
    <row r="20" spans="1:24" ht="15.75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</row>
    <row r="21" spans="1:24" ht="15.75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</row>
    <row r="22" spans="1:24" ht="15.75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</row>
    <row r="23" spans="1:24" ht="15.75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</row>
    <row r="24" spans="1:24" ht="15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</row>
    <row r="25" spans="1:24" ht="15.75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</row>
    <row r="26" spans="1:24" ht="15.75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</row>
    <row r="27" spans="1:24" ht="15.75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</row>
    <row r="28" spans="1:24" ht="15.75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</row>
    <row r="29" spans="1:24" ht="15.75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</row>
    <row r="30" spans="1:24" ht="15.75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</row>
    <row r="31" spans="1:24" ht="15.75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</row>
    <row r="32" spans="1:24" ht="15.75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</row>
    <row r="33" spans="1:24" ht="15.75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</row>
    <row r="34" spans="1:24" ht="15.75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</row>
    <row r="35" spans="1:24" ht="15.75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</row>
    <row r="36" spans="1:24" ht="15.75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</row>
    <row r="37" spans="1:24" ht="15.75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</row>
    <row r="38" spans="1:24" ht="15.75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</row>
    <row r="39" spans="1:24" ht="15.75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</row>
    <row r="40" spans="1:24" ht="15.75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</row>
    <row r="41" spans="1:24" ht="15.7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</row>
    <row r="42" spans="1:24" ht="15.7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7DF69-483C-43E9-BB0F-45385207715E}">
  <sheetPr>
    <outlinePr summaryBelow="0" summaryRight="0"/>
  </sheetPr>
  <dimension ref="A1:P19"/>
  <sheetViews>
    <sheetView workbookViewId="0">
      <selection activeCell="E18" sqref="E18"/>
    </sheetView>
  </sheetViews>
  <sheetFormatPr defaultColWidth="12.5703125" defaultRowHeight="15.75" customHeight="1"/>
  <cols>
    <col min="1" max="2" width="18" style="54" customWidth="1"/>
    <col min="3" max="16384" width="12.5703125" style="54"/>
  </cols>
  <sheetData>
    <row r="1" spans="1:16" ht="15.75" customHeight="1" thickBot="1">
      <c r="A1" s="73" t="s">
        <v>67</v>
      </c>
      <c r="B1" s="74" t="s">
        <v>604</v>
      </c>
      <c r="C1" s="74" t="s">
        <v>605</v>
      </c>
      <c r="D1" s="74" t="s">
        <v>606</v>
      </c>
      <c r="F1" s="77" t="s">
        <v>67</v>
      </c>
      <c r="G1" s="78" t="s">
        <v>611</v>
      </c>
      <c r="H1" s="78" t="s">
        <v>53</v>
      </c>
      <c r="J1" s="54" t="str" cm="1">
        <f t="array" ref="J1:L19">_xlfn.LET(
_xlpm.prod,A2:A7,
_xlpm.chan,B1:D1,
_xlpm.data,B2:D7,
_xlpm.prodExp,_xlfn.TOCOL(IF(_xlfn.SEQUENCE(1,COUNTA(_xlpm.chan),1,1),_xlpm.prod),0,1),
_xlpm.chanExp,_xlfn.TOCOL(_xlfn.DROP(_xlfn.REDUCE("",_xlpm.chan,_xlfn.LAMBDA(_xlpm.state,_xlpm.curr,_xlfn.HSTACK(_xlpm.state,IF(_xlfn.SEQUENCE(COUNTA(_xlpm.prod),1,1,0),_xlpm.curr)))),0,1),0,1),
_xlpm.sales,_xlfn.TOCOL(_xlpm.data,0,1),
_xlpm.res,_xlfn.VSTACK({"Product","Channel","Sales"},_xlfn.HSTACK(_xlpm.prodExp,_xlpm.chanExp,_xlpm.sales)),
_xlpm.res)</f>
        <v>Product</v>
      </c>
      <c r="K1" s="54" t="str">
        <v>Channel</v>
      </c>
      <c r="L1" s="54" t="str">
        <v>Sales</v>
      </c>
      <c r="N1" s="54" t="b" cm="1">
        <f t="array" ref="N1:P19">_xlfn.ANCHORARRAY(J1)=F1:H19</f>
        <v>1</v>
      </c>
      <c r="O1" s="54" t="b">
        <v>1</v>
      </c>
      <c r="P1" s="54" t="b">
        <v>1</v>
      </c>
    </row>
    <row r="2" spans="1:16" ht="15.75" customHeight="1" thickBot="1">
      <c r="A2" s="75" t="s">
        <v>196</v>
      </c>
      <c r="B2" s="76">
        <v>150</v>
      </c>
      <c r="C2" s="76">
        <v>200</v>
      </c>
      <c r="D2" s="76">
        <v>100</v>
      </c>
      <c r="F2" s="75" t="s">
        <v>196</v>
      </c>
      <c r="G2" s="79" t="s">
        <v>604</v>
      </c>
      <c r="H2" s="76">
        <v>150</v>
      </c>
      <c r="J2" s="54" t="str">
        <v>Laptop</v>
      </c>
      <c r="K2" s="54" t="str">
        <v>Online-Sales</v>
      </c>
      <c r="L2" s="54">
        <v>150</v>
      </c>
      <c r="N2" s="54" t="b">
        <v>1</v>
      </c>
      <c r="O2" s="54" t="b">
        <v>1</v>
      </c>
      <c r="P2" s="54" t="b">
        <v>1</v>
      </c>
    </row>
    <row r="3" spans="1:16" ht="15.75" customHeight="1" thickBot="1">
      <c r="A3" s="75" t="s">
        <v>607</v>
      </c>
      <c r="B3" s="76">
        <v>250</v>
      </c>
      <c r="C3" s="76">
        <v>180</v>
      </c>
      <c r="D3" s="76">
        <v>120</v>
      </c>
      <c r="F3" s="75" t="s">
        <v>607</v>
      </c>
      <c r="G3" s="79" t="s">
        <v>604</v>
      </c>
      <c r="H3" s="76">
        <v>250</v>
      </c>
      <c r="J3" s="54" t="str">
        <v>Phone</v>
      </c>
      <c r="K3" s="54" t="str">
        <v>Online-Sales</v>
      </c>
      <c r="L3" s="54">
        <v>250</v>
      </c>
      <c r="N3" s="54" t="b">
        <v>1</v>
      </c>
      <c r="O3" s="54" t="b">
        <v>1</v>
      </c>
      <c r="P3" s="54" t="b">
        <v>1</v>
      </c>
    </row>
    <row r="4" spans="1:16" ht="15.75" customHeight="1" thickBot="1">
      <c r="A4" s="75" t="s">
        <v>198</v>
      </c>
      <c r="B4" s="76">
        <v>300</v>
      </c>
      <c r="C4" s="76">
        <v>250</v>
      </c>
      <c r="D4" s="76">
        <v>200</v>
      </c>
      <c r="F4" s="75" t="s">
        <v>198</v>
      </c>
      <c r="G4" s="79" t="s">
        <v>604</v>
      </c>
      <c r="H4" s="76">
        <v>300</v>
      </c>
      <c r="J4" s="54" t="str">
        <v>Tablet</v>
      </c>
      <c r="K4" s="54" t="str">
        <v>Online-Sales</v>
      </c>
      <c r="L4" s="54">
        <v>300</v>
      </c>
      <c r="N4" s="54" t="b">
        <v>1</v>
      </c>
      <c r="O4" s="54" t="b">
        <v>1</v>
      </c>
      <c r="P4" s="54" t="b">
        <v>1</v>
      </c>
    </row>
    <row r="5" spans="1:16" ht="15.75" customHeight="1" thickBot="1">
      <c r="A5" s="75" t="s">
        <v>608</v>
      </c>
      <c r="B5" s="76">
        <v>180</v>
      </c>
      <c r="C5" s="76">
        <v>220</v>
      </c>
      <c r="D5" s="76">
        <v>150</v>
      </c>
      <c r="F5" s="75" t="s">
        <v>608</v>
      </c>
      <c r="G5" s="79" t="s">
        <v>604</v>
      </c>
      <c r="H5" s="76">
        <v>180</v>
      </c>
      <c r="J5" s="54" t="str">
        <v>Monitor</v>
      </c>
      <c r="K5" s="54" t="str">
        <v>Online-Sales</v>
      </c>
      <c r="L5" s="54">
        <v>180</v>
      </c>
      <c r="N5" s="54" t="b">
        <v>1</v>
      </c>
      <c r="O5" s="54" t="b">
        <v>1</v>
      </c>
      <c r="P5" s="54" t="b">
        <v>1</v>
      </c>
    </row>
    <row r="6" spans="1:16" ht="15.75" customHeight="1" thickBot="1">
      <c r="A6" s="75" t="s">
        <v>609</v>
      </c>
      <c r="B6" s="76">
        <v>120</v>
      </c>
      <c r="C6" s="76">
        <v>140</v>
      </c>
      <c r="D6" s="76">
        <v>80</v>
      </c>
      <c r="F6" s="75" t="s">
        <v>609</v>
      </c>
      <c r="G6" s="79" t="s">
        <v>604</v>
      </c>
      <c r="H6" s="76">
        <v>120</v>
      </c>
      <c r="J6" s="54" t="str">
        <v>Keyboard</v>
      </c>
      <c r="K6" s="54" t="str">
        <v>Online-Sales</v>
      </c>
      <c r="L6" s="54">
        <v>120</v>
      </c>
      <c r="N6" s="54" t="b">
        <v>1</v>
      </c>
      <c r="O6" s="54" t="b">
        <v>1</v>
      </c>
      <c r="P6" s="54" t="b">
        <v>1</v>
      </c>
    </row>
    <row r="7" spans="1:16" ht="15.75" customHeight="1" thickBot="1">
      <c r="A7" s="75" t="s">
        <v>610</v>
      </c>
      <c r="B7" s="76">
        <v>200</v>
      </c>
      <c r="C7" s="76">
        <v>160</v>
      </c>
      <c r="D7" s="76">
        <v>110</v>
      </c>
      <c r="F7" s="75" t="s">
        <v>610</v>
      </c>
      <c r="G7" s="79" t="s">
        <v>604</v>
      </c>
      <c r="H7" s="76">
        <v>200</v>
      </c>
      <c r="J7" s="54" t="str">
        <v>Mouse</v>
      </c>
      <c r="K7" s="54" t="str">
        <v>Online-Sales</v>
      </c>
      <c r="L7" s="54">
        <v>200</v>
      </c>
      <c r="N7" s="54" t="b">
        <v>1</v>
      </c>
      <c r="O7" s="54" t="b">
        <v>1</v>
      </c>
      <c r="P7" s="54" t="b">
        <v>1</v>
      </c>
    </row>
    <row r="8" spans="1:16" ht="15.75" customHeight="1" thickBot="1">
      <c r="F8" s="75" t="s">
        <v>196</v>
      </c>
      <c r="G8" s="79" t="s">
        <v>605</v>
      </c>
      <c r="H8" s="76">
        <v>200</v>
      </c>
      <c r="J8" s="54" t="str">
        <v>Laptop</v>
      </c>
      <c r="K8" s="54" t="str">
        <v>Retail-Sales</v>
      </c>
      <c r="L8" s="54">
        <v>200</v>
      </c>
      <c r="N8" s="54" t="b">
        <v>1</v>
      </c>
      <c r="O8" s="54" t="b">
        <v>1</v>
      </c>
      <c r="P8" s="54" t="b">
        <v>1</v>
      </c>
    </row>
    <row r="9" spans="1:16" ht="15.75" customHeight="1" thickBot="1">
      <c r="F9" s="75" t="s">
        <v>607</v>
      </c>
      <c r="G9" s="79" t="s">
        <v>605</v>
      </c>
      <c r="H9" s="76">
        <v>180</v>
      </c>
      <c r="J9" s="54" t="str">
        <v>Phone</v>
      </c>
      <c r="K9" s="54" t="str">
        <v>Retail-Sales</v>
      </c>
      <c r="L9" s="54">
        <v>180</v>
      </c>
      <c r="N9" s="54" t="b">
        <v>1</v>
      </c>
      <c r="O9" s="54" t="b">
        <v>1</v>
      </c>
      <c r="P9" s="54" t="b">
        <v>1</v>
      </c>
    </row>
    <row r="10" spans="1:16" ht="15.75" customHeight="1" thickBot="1">
      <c r="F10" s="75" t="s">
        <v>198</v>
      </c>
      <c r="G10" s="79" t="s">
        <v>605</v>
      </c>
      <c r="H10" s="76">
        <v>250</v>
      </c>
      <c r="J10" s="54" t="str">
        <v>Tablet</v>
      </c>
      <c r="K10" s="54" t="str">
        <v>Retail-Sales</v>
      </c>
      <c r="L10" s="54">
        <v>250</v>
      </c>
      <c r="N10" s="54" t="b">
        <v>1</v>
      </c>
      <c r="O10" s="54" t="b">
        <v>1</v>
      </c>
      <c r="P10" s="54" t="b">
        <v>1</v>
      </c>
    </row>
    <row r="11" spans="1:16" ht="15.75" customHeight="1" thickBot="1">
      <c r="F11" s="75" t="s">
        <v>608</v>
      </c>
      <c r="G11" s="79" t="s">
        <v>605</v>
      </c>
      <c r="H11" s="76">
        <v>220</v>
      </c>
      <c r="J11" s="54" t="str">
        <v>Monitor</v>
      </c>
      <c r="K11" s="54" t="str">
        <v>Retail-Sales</v>
      </c>
      <c r="L11" s="54">
        <v>220</v>
      </c>
      <c r="N11" s="54" t="b">
        <v>1</v>
      </c>
      <c r="O11" s="54" t="b">
        <v>1</v>
      </c>
      <c r="P11" s="54" t="b">
        <v>1</v>
      </c>
    </row>
    <row r="12" spans="1:16" ht="15.75" customHeight="1" thickBot="1">
      <c r="F12" s="75" t="s">
        <v>609</v>
      </c>
      <c r="G12" s="79" t="s">
        <v>605</v>
      </c>
      <c r="H12" s="76">
        <v>140</v>
      </c>
      <c r="J12" s="54" t="str">
        <v>Keyboard</v>
      </c>
      <c r="K12" s="54" t="str">
        <v>Retail-Sales</v>
      </c>
      <c r="L12" s="54">
        <v>140</v>
      </c>
      <c r="N12" s="54" t="b">
        <v>1</v>
      </c>
      <c r="O12" s="54" t="b">
        <v>1</v>
      </c>
      <c r="P12" s="54" t="b">
        <v>1</v>
      </c>
    </row>
    <row r="13" spans="1:16" ht="15.75" customHeight="1" thickBot="1">
      <c r="F13" s="75" t="s">
        <v>610</v>
      </c>
      <c r="G13" s="79" t="s">
        <v>605</v>
      </c>
      <c r="H13" s="76">
        <v>160</v>
      </c>
      <c r="J13" s="54" t="str">
        <v>Mouse</v>
      </c>
      <c r="K13" s="54" t="str">
        <v>Retail-Sales</v>
      </c>
      <c r="L13" s="54">
        <v>160</v>
      </c>
      <c r="N13" s="54" t="b">
        <v>1</v>
      </c>
      <c r="O13" s="54" t="b">
        <v>1</v>
      </c>
      <c r="P13" s="54" t="b">
        <v>1</v>
      </c>
    </row>
    <row r="14" spans="1:16" ht="15.75" customHeight="1" thickBot="1">
      <c r="F14" s="75" t="s">
        <v>196</v>
      </c>
      <c r="G14" s="79" t="s">
        <v>606</v>
      </c>
      <c r="H14" s="76">
        <v>100</v>
      </c>
      <c r="J14" s="54" t="str">
        <v>Laptop</v>
      </c>
      <c r="K14" s="54" t="str">
        <v>Wholesale-Sales</v>
      </c>
      <c r="L14" s="54">
        <v>100</v>
      </c>
      <c r="N14" s="54" t="b">
        <v>1</v>
      </c>
      <c r="O14" s="54" t="b">
        <v>1</v>
      </c>
      <c r="P14" s="54" t="b">
        <v>1</v>
      </c>
    </row>
    <row r="15" spans="1:16" ht="15.75" customHeight="1" thickBot="1">
      <c r="F15" s="75" t="s">
        <v>607</v>
      </c>
      <c r="G15" s="79" t="s">
        <v>606</v>
      </c>
      <c r="H15" s="76">
        <v>120</v>
      </c>
      <c r="J15" s="54" t="str">
        <v>Phone</v>
      </c>
      <c r="K15" s="54" t="str">
        <v>Wholesale-Sales</v>
      </c>
      <c r="L15" s="54">
        <v>120</v>
      </c>
      <c r="N15" s="54" t="b">
        <v>1</v>
      </c>
      <c r="O15" s="54" t="b">
        <v>1</v>
      </c>
      <c r="P15" s="54" t="b">
        <v>1</v>
      </c>
    </row>
    <row r="16" spans="1:16" ht="15.75" customHeight="1" thickBot="1">
      <c r="F16" s="75" t="s">
        <v>198</v>
      </c>
      <c r="G16" s="79" t="s">
        <v>606</v>
      </c>
      <c r="H16" s="76">
        <v>200</v>
      </c>
      <c r="J16" s="54" t="str">
        <v>Tablet</v>
      </c>
      <c r="K16" s="54" t="str">
        <v>Wholesale-Sales</v>
      </c>
      <c r="L16" s="54">
        <v>200</v>
      </c>
      <c r="N16" s="54" t="b">
        <v>1</v>
      </c>
      <c r="O16" s="54" t="b">
        <v>1</v>
      </c>
      <c r="P16" s="54" t="b">
        <v>1</v>
      </c>
    </row>
    <row r="17" spans="2:16" ht="15.75" customHeight="1" thickBot="1">
      <c r="F17" s="75" t="s">
        <v>608</v>
      </c>
      <c r="G17" s="79" t="s">
        <v>606</v>
      </c>
      <c r="H17" s="76">
        <v>150</v>
      </c>
      <c r="J17" s="54" t="str">
        <v>Monitor</v>
      </c>
      <c r="K17" s="54" t="str">
        <v>Wholesale-Sales</v>
      </c>
      <c r="L17" s="54">
        <v>150</v>
      </c>
      <c r="N17" s="54" t="b">
        <v>1</v>
      </c>
      <c r="O17" s="54" t="b">
        <v>1</v>
      </c>
      <c r="P17" s="54" t="b">
        <v>1</v>
      </c>
    </row>
    <row r="18" spans="2:16" ht="15.75" customHeight="1" thickBot="1">
      <c r="F18" s="75" t="s">
        <v>609</v>
      </c>
      <c r="G18" s="79" t="s">
        <v>606</v>
      </c>
      <c r="H18" s="76">
        <v>80</v>
      </c>
      <c r="J18" s="54" t="str">
        <v>Keyboard</v>
      </c>
      <c r="K18" s="54" t="str">
        <v>Wholesale-Sales</v>
      </c>
      <c r="L18" s="54">
        <v>80</v>
      </c>
      <c r="N18" s="54" t="b">
        <v>1</v>
      </c>
      <c r="O18" s="54" t="b">
        <v>1</v>
      </c>
      <c r="P18" s="54" t="b">
        <v>1</v>
      </c>
    </row>
    <row r="19" spans="2:16" ht="15.75" customHeight="1" thickBot="1">
      <c r="B19"/>
      <c r="F19" s="75" t="s">
        <v>610</v>
      </c>
      <c r="G19" s="79" t="s">
        <v>606</v>
      </c>
      <c r="H19" s="76">
        <v>110</v>
      </c>
      <c r="J19" s="54" t="str">
        <v>Mouse</v>
      </c>
      <c r="K19" s="54" t="str">
        <v>Wholesale-Sales</v>
      </c>
      <c r="L19" s="54">
        <v>110</v>
      </c>
      <c r="N19" s="54" t="b">
        <v>1</v>
      </c>
      <c r="O19" s="54" t="b">
        <v>1</v>
      </c>
      <c r="P19" s="54" t="b">
        <v>1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647F1-13AA-485D-A439-45C5FBF36381}">
  <sheetPr>
    <outlinePr summaryBelow="0" summaryRight="0"/>
  </sheetPr>
  <dimension ref="A1:G6"/>
  <sheetViews>
    <sheetView workbookViewId="0">
      <selection activeCell="B20" sqref="B20"/>
    </sheetView>
  </sheetViews>
  <sheetFormatPr defaultColWidth="12.5703125" defaultRowHeight="15.75" customHeight="1"/>
  <cols>
    <col min="1" max="1" width="34" style="54" bestFit="1" customWidth="1"/>
    <col min="2" max="2" width="23" style="54" bestFit="1" customWidth="1"/>
    <col min="3" max="3" width="18.7109375" style="54" customWidth="1"/>
    <col min="4" max="4" width="12.5703125" style="54"/>
    <col min="5" max="5" width="14.42578125" style="54" customWidth="1"/>
    <col min="6" max="16384" width="12.5703125" style="54"/>
  </cols>
  <sheetData>
    <row r="1" spans="1:7" ht="15.75" customHeight="1">
      <c r="A1" s="52" t="s">
        <v>589</v>
      </c>
      <c r="B1" s="52" t="s">
        <v>590</v>
      </c>
      <c r="C1" s="72" t="s">
        <v>27</v>
      </c>
      <c r="D1"/>
    </row>
    <row r="2" spans="1:7" ht="15.75" customHeight="1">
      <c r="A2" s="55" t="s">
        <v>591</v>
      </c>
      <c r="B2" s="55" t="s">
        <v>592</v>
      </c>
      <c r="C2" s="54" t="s">
        <v>593</v>
      </c>
      <c r="E2" s="54" t="str" cm="1">
        <f t="array" ref="E2:E6">_xlfn.MAP(A2:A6,B2:B6, _xlfn.LAMBDA(_xlpm.l,_xlpm.r, _xlfn.LET(_xlpm.splitL, _xlfn.TEXTSPLIT(_xlpm.l,," "), _xlpm.splitR, _xlfn.TEXTSPLIT(_xlpm.r,, " "), _xlpm.res, _xlfn.TEXTJOIN(" - ", 1, _xlfn._xlws.FILTER(_xlpm.splitL, _xlfn.MAP(_xlpm.splitL, _xlfn.LAMBDA(_xlpm.sl, SUM(--(_xlpm.sl = _xlpm.splitR))))&gt;0,"")), _xlpm.res)))</f>
        <v>Excel - Challenge</v>
      </c>
      <c r="G2" s="54" t="b" cm="1">
        <f t="array" ref="G2:G6">_xlfn.ANCHORARRAY(E2)=C2:C6</f>
        <v>1</v>
      </c>
    </row>
    <row r="3" spans="1:7" ht="15.75" customHeight="1">
      <c r="A3" s="55" t="s">
        <v>594</v>
      </c>
      <c r="B3" s="55" t="s">
        <v>595</v>
      </c>
      <c r="C3" s="54" t="s">
        <v>61</v>
      </c>
      <c r="E3" s="54" t="str">
        <v>Excel</v>
      </c>
      <c r="G3" s="54" t="b">
        <v>1</v>
      </c>
    </row>
    <row r="4" spans="1:7" ht="15.75" customHeight="1">
      <c r="A4" s="55" t="s">
        <v>596</v>
      </c>
      <c r="B4" s="55" t="s">
        <v>597</v>
      </c>
      <c r="C4" s="54" t="s">
        <v>598</v>
      </c>
      <c r="E4" s="54" t="str">
        <v>Blue - Yellow</v>
      </c>
      <c r="G4" s="54" t="b">
        <v>1</v>
      </c>
    </row>
    <row r="5" spans="1:7" ht="15.75" customHeight="1">
      <c r="A5" s="55" t="s">
        <v>293</v>
      </c>
      <c r="B5" s="55" t="s">
        <v>599</v>
      </c>
      <c r="C5" s="54" t="s">
        <v>600</v>
      </c>
      <c r="E5" s="54" t="str">
        <v>Learn - Daily</v>
      </c>
      <c r="G5" s="54" t="b">
        <v>1</v>
      </c>
    </row>
    <row r="6" spans="1:7" ht="15.75" customHeight="1">
      <c r="A6" s="55" t="s">
        <v>601</v>
      </c>
      <c r="B6" s="55" t="s">
        <v>602</v>
      </c>
      <c r="C6" s="54" t="s">
        <v>603</v>
      </c>
      <c r="E6" s="54" t="str">
        <v>happy - Diwali</v>
      </c>
      <c r="G6" s="54" t="b">
        <v>1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6D046-B301-40BE-A0E0-148A58E81F04}">
  <sheetPr>
    <outlinePr summaryBelow="0" summaryRight="0"/>
  </sheetPr>
  <dimension ref="A1:G6"/>
  <sheetViews>
    <sheetView workbookViewId="0">
      <selection activeCell="D25" sqref="D25"/>
    </sheetView>
  </sheetViews>
  <sheetFormatPr defaultColWidth="12.5703125" defaultRowHeight="15.75" customHeight="1"/>
  <cols>
    <col min="1" max="2" width="18" style="54" customWidth="1"/>
    <col min="3" max="16384" width="12.5703125" style="54"/>
  </cols>
  <sheetData>
    <row r="1" spans="1:7" ht="15.75" customHeight="1">
      <c r="A1" s="52" t="s">
        <v>0</v>
      </c>
      <c r="B1" s="53" t="s">
        <v>27</v>
      </c>
    </row>
    <row r="2" spans="1:7" ht="15.75" customHeight="1">
      <c r="A2" s="55" t="s">
        <v>287</v>
      </c>
      <c r="B2" s="55" t="s">
        <v>288</v>
      </c>
      <c r="D2" s="54" t="str" cm="1">
        <f t="array" ref="D2:D6">_xlfn.MAP(A2:A6, _xlfn.LAMBDA(_xlpm.m, _xlfn.LET(_xlpm.split, _xlfn.TEXTSPLIT(_xlpm.m,, " "), _xlpm.mp, _xlfn.MAP(_xlpm.split, _xlfn.LAMBDA(_xlpm.s, _xlfn.CONCAT(MID(_xlpm.s, _xlfn.SEQUENCE(LEN(_xlpm.s),1,LEN(_xlpm.s),-1),1)))), _xlpm.res, _xlfn.TEXTJOIN(" ", 1, _xlpm.mp), _xlpm.res)))</f>
        <v>lecxE si nuF</v>
      </c>
      <c r="G2" s="54" t="b" cm="1">
        <f t="array" ref="G2:G6">_xlfn.ANCHORARRAY(D2)=B2:B6</f>
        <v>1</v>
      </c>
    </row>
    <row r="3" spans="1:7" ht="15.75" customHeight="1">
      <c r="A3" s="55" t="s">
        <v>289</v>
      </c>
      <c r="B3" s="55" t="s">
        <v>290</v>
      </c>
      <c r="D3" s="54" t="str">
        <v>rewoP yreuQ skcoR</v>
      </c>
      <c r="G3" s="54" t="b">
        <v>1</v>
      </c>
    </row>
    <row r="4" spans="1:7" ht="15.75" customHeight="1">
      <c r="A4" s="55" t="s">
        <v>291</v>
      </c>
      <c r="B4" s="55" t="s">
        <v>292</v>
      </c>
      <c r="D4" s="54" t="str">
        <v>ataD sevirD snoisiceD</v>
      </c>
      <c r="G4" s="54" t="b">
        <v>1</v>
      </c>
    </row>
    <row r="5" spans="1:7" ht="15.75" customHeight="1">
      <c r="A5" s="55" t="s">
        <v>293</v>
      </c>
      <c r="B5" s="55" t="s">
        <v>294</v>
      </c>
      <c r="D5" s="54" t="str">
        <v>nraeL lecxE yliaD</v>
      </c>
      <c r="G5" s="54" t="b">
        <v>1</v>
      </c>
    </row>
    <row r="6" spans="1:7" ht="15.75" customHeight="1">
      <c r="A6" s="55" t="s">
        <v>295</v>
      </c>
      <c r="B6" s="55" t="s">
        <v>296</v>
      </c>
      <c r="D6" s="54" t="str">
        <v>ehT alumroF egnellahC</v>
      </c>
      <c r="G6" s="54" t="b">
        <v>1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53363-BBB0-4713-91C8-29FA4B9F83CA}">
  <sheetPr>
    <outlinePr summaryBelow="0" summaryRight="0"/>
  </sheetPr>
  <dimension ref="A1:L31"/>
  <sheetViews>
    <sheetView topLeftCell="A6" workbookViewId="0">
      <selection activeCell="N11" sqref="N11"/>
    </sheetView>
  </sheetViews>
  <sheetFormatPr defaultColWidth="12.5703125" defaultRowHeight="15.75" customHeight="1"/>
  <cols>
    <col min="1" max="1" width="12.5703125" style="54"/>
    <col min="2" max="2" width="9.7109375" style="54" bestFit="1" customWidth="1"/>
    <col min="3" max="3" width="10.28515625" style="54" bestFit="1" customWidth="1"/>
    <col min="4" max="4" width="9.85546875" style="54" bestFit="1" customWidth="1"/>
    <col min="5" max="5" width="12.85546875" style="54" bestFit="1" customWidth="1"/>
    <col min="6" max="6" width="11.5703125" style="54" customWidth="1"/>
    <col min="7" max="7" width="13.42578125" style="54" customWidth="1"/>
    <col min="8" max="16384" width="12.5703125" style="54"/>
  </cols>
  <sheetData>
    <row r="1" spans="1:12" ht="15.75" customHeight="1">
      <c r="A1" s="52" t="s">
        <v>87</v>
      </c>
      <c r="B1" s="52" t="s">
        <v>67</v>
      </c>
      <c r="C1" s="52" t="s">
        <v>297</v>
      </c>
      <c r="D1" s="52" t="s">
        <v>298</v>
      </c>
      <c r="E1" s="52" t="s">
        <v>299</v>
      </c>
      <c r="F1" s="52" t="s">
        <v>53</v>
      </c>
      <c r="G1" s="52" t="s">
        <v>300</v>
      </c>
      <c r="H1" s="52" t="s">
        <v>301</v>
      </c>
      <c r="I1" s="52" t="s">
        <v>302</v>
      </c>
      <c r="J1" s="52" t="s">
        <v>303</v>
      </c>
      <c r="K1" s="52" t="s">
        <v>53</v>
      </c>
      <c r="L1" s="52" t="s">
        <v>300</v>
      </c>
    </row>
    <row r="2" spans="1:12" ht="15.75" customHeight="1">
      <c r="A2" s="56" t="s">
        <v>92</v>
      </c>
      <c r="B2" s="56" t="s">
        <v>304</v>
      </c>
      <c r="C2" s="56">
        <v>20</v>
      </c>
      <c r="D2" s="56">
        <v>15</v>
      </c>
      <c r="E2" s="56">
        <v>25</v>
      </c>
      <c r="F2" s="56">
        <v>2600</v>
      </c>
      <c r="G2" s="56">
        <v>420</v>
      </c>
      <c r="H2" s="56">
        <v>22</v>
      </c>
      <c r="I2" s="56">
        <v>18</v>
      </c>
      <c r="J2" s="56">
        <v>16</v>
      </c>
      <c r="K2" s="56">
        <v>1820</v>
      </c>
      <c r="L2" s="56">
        <v>310</v>
      </c>
    </row>
    <row r="3" spans="1:12" ht="15.75" customHeight="1">
      <c r="A3" s="56" t="s">
        <v>95</v>
      </c>
      <c r="B3" s="56" t="s">
        <v>305</v>
      </c>
      <c r="C3" s="56">
        <v>30</v>
      </c>
      <c r="D3" s="56">
        <v>25</v>
      </c>
      <c r="E3" s="56">
        <v>35</v>
      </c>
      <c r="F3" s="56">
        <v>3800</v>
      </c>
      <c r="G3" s="56">
        <v>720</v>
      </c>
      <c r="H3" s="56">
        <v>28</v>
      </c>
      <c r="I3" s="56">
        <v>22</v>
      </c>
      <c r="J3" s="56">
        <v>30</v>
      </c>
      <c r="K3" s="56">
        <v>3550</v>
      </c>
      <c r="L3" s="56">
        <v>640</v>
      </c>
    </row>
    <row r="4" spans="1:12" ht="15.75" customHeight="1">
      <c r="A4" s="56" t="s">
        <v>97</v>
      </c>
      <c r="B4" s="56" t="s">
        <v>306</v>
      </c>
      <c r="C4" s="56">
        <v>18</v>
      </c>
      <c r="D4" s="56">
        <v>24</v>
      </c>
      <c r="E4" s="56">
        <v>20</v>
      </c>
      <c r="F4" s="56">
        <v>2400</v>
      </c>
      <c r="G4" s="56">
        <v>500</v>
      </c>
      <c r="H4" s="56">
        <v>15</v>
      </c>
      <c r="I4" s="56">
        <v>17</v>
      </c>
      <c r="J4" s="56">
        <v>18</v>
      </c>
      <c r="K4" s="56">
        <v>1950</v>
      </c>
      <c r="L4" s="56">
        <v>330</v>
      </c>
    </row>
    <row r="7" spans="1:12" ht="15.75" customHeight="1">
      <c r="B7" s="94" t="s">
        <v>27</v>
      </c>
      <c r="C7" s="95"/>
      <c r="D7" s="95"/>
      <c r="E7" s="95"/>
      <c r="F7" s="95"/>
      <c r="G7" s="96"/>
    </row>
    <row r="8" spans="1:12" ht="15.75" customHeight="1">
      <c r="B8" s="57" t="s">
        <v>87</v>
      </c>
      <c r="C8" s="58" t="s">
        <v>67</v>
      </c>
      <c r="D8" s="58" t="s">
        <v>307</v>
      </c>
      <c r="E8" s="58" t="s">
        <v>308</v>
      </c>
      <c r="F8" s="58" t="s">
        <v>53</v>
      </c>
      <c r="G8" s="59" t="s">
        <v>300</v>
      </c>
    </row>
    <row r="9" spans="1:12" ht="15.75" customHeight="1">
      <c r="B9" s="60" t="s">
        <v>92</v>
      </c>
      <c r="C9" s="55" t="s">
        <v>304</v>
      </c>
      <c r="D9" s="55" t="s">
        <v>309</v>
      </c>
      <c r="E9" s="61">
        <v>60</v>
      </c>
      <c r="F9" s="61">
        <v>2600</v>
      </c>
      <c r="G9" s="62">
        <v>420</v>
      </c>
    </row>
    <row r="10" spans="1:12" ht="15.75" customHeight="1">
      <c r="B10" s="60" t="s">
        <v>95</v>
      </c>
      <c r="C10" s="55" t="s">
        <v>305</v>
      </c>
      <c r="D10" s="55" t="s">
        <v>309</v>
      </c>
      <c r="E10" s="61">
        <v>90</v>
      </c>
      <c r="F10" s="61">
        <v>3800</v>
      </c>
      <c r="G10" s="62">
        <v>720</v>
      </c>
    </row>
    <row r="11" spans="1:12" ht="15.75" customHeight="1">
      <c r="B11" s="60" t="s">
        <v>97</v>
      </c>
      <c r="C11" s="55" t="s">
        <v>306</v>
      </c>
      <c r="D11" s="55" t="s">
        <v>309</v>
      </c>
      <c r="E11" s="61">
        <v>62</v>
      </c>
      <c r="F11" s="61">
        <v>2400</v>
      </c>
      <c r="G11" s="62">
        <v>500</v>
      </c>
    </row>
    <row r="12" spans="1:12" ht="15.75" customHeight="1">
      <c r="B12" s="60" t="s">
        <v>92</v>
      </c>
      <c r="C12" s="55" t="s">
        <v>304</v>
      </c>
      <c r="D12" s="55" t="s">
        <v>310</v>
      </c>
      <c r="E12" s="61">
        <v>56</v>
      </c>
      <c r="F12" s="61">
        <v>1820</v>
      </c>
      <c r="G12" s="62">
        <v>310</v>
      </c>
    </row>
    <row r="13" spans="1:12" ht="15">
      <c r="B13" s="60" t="s">
        <v>95</v>
      </c>
      <c r="C13" s="55" t="s">
        <v>305</v>
      </c>
      <c r="D13" s="55" t="s">
        <v>310</v>
      </c>
      <c r="E13" s="61">
        <v>80</v>
      </c>
      <c r="F13" s="61">
        <v>3550</v>
      </c>
      <c r="G13" s="62">
        <v>640</v>
      </c>
    </row>
    <row r="14" spans="1:12" ht="15">
      <c r="B14" s="63" t="s">
        <v>97</v>
      </c>
      <c r="C14" s="64" t="s">
        <v>306</v>
      </c>
      <c r="D14" s="64" t="s">
        <v>310</v>
      </c>
      <c r="E14" s="65">
        <v>50</v>
      </c>
      <c r="F14" s="65">
        <v>1950</v>
      </c>
      <c r="G14" s="66">
        <v>330</v>
      </c>
    </row>
    <row r="17" spans="2:7" ht="12.75">
      <c r="B17" s="54" t="s">
        <v>87</v>
      </c>
      <c r="C17" s="54" t="s">
        <v>67</v>
      </c>
      <c r="D17" s="54" t="s">
        <v>307</v>
      </c>
      <c r="E17" s="54" t="s">
        <v>308</v>
      </c>
      <c r="F17" s="54" t="s">
        <v>53</v>
      </c>
      <c r="G17" s="54" t="s">
        <v>300</v>
      </c>
    </row>
    <row r="18" spans="2:7" ht="12.75">
      <c r="B18" t="s">
        <v>92</v>
      </c>
      <c r="C18" t="s">
        <v>304</v>
      </c>
      <c r="D18" t="s">
        <v>309</v>
      </c>
      <c r="E18">
        <v>60</v>
      </c>
      <c r="F18">
        <v>2600</v>
      </c>
      <c r="G18">
        <v>420</v>
      </c>
    </row>
    <row r="19" spans="2:7" ht="12.75">
      <c r="B19" t="s">
        <v>95</v>
      </c>
      <c r="C19" t="s">
        <v>305</v>
      </c>
      <c r="D19" t="s">
        <v>309</v>
      </c>
      <c r="E19">
        <v>90</v>
      </c>
      <c r="F19">
        <v>3800</v>
      </c>
      <c r="G19">
        <v>720</v>
      </c>
    </row>
    <row r="20" spans="2:7" ht="12.75">
      <c r="B20" t="s">
        <v>97</v>
      </c>
      <c r="C20" t="s">
        <v>306</v>
      </c>
      <c r="D20" t="s">
        <v>309</v>
      </c>
      <c r="E20">
        <v>62</v>
      </c>
      <c r="F20">
        <v>2400</v>
      </c>
      <c r="G20">
        <v>500</v>
      </c>
    </row>
    <row r="21" spans="2:7" ht="12.75">
      <c r="B21" t="s">
        <v>92</v>
      </c>
      <c r="C21" t="s">
        <v>304</v>
      </c>
      <c r="D21" t="s">
        <v>310</v>
      </c>
      <c r="E21">
        <v>56</v>
      </c>
      <c r="F21">
        <v>1820</v>
      </c>
      <c r="G21">
        <v>310</v>
      </c>
    </row>
    <row r="22" spans="2:7" ht="12.75">
      <c r="B22" t="s">
        <v>95</v>
      </c>
      <c r="C22" t="s">
        <v>305</v>
      </c>
      <c r="D22" t="s">
        <v>310</v>
      </c>
      <c r="E22">
        <v>80</v>
      </c>
      <c r="F22">
        <v>3550</v>
      </c>
      <c r="G22">
        <v>640</v>
      </c>
    </row>
    <row r="23" spans="2:7" ht="12.75">
      <c r="B23" t="s">
        <v>97</v>
      </c>
      <c r="C23" t="s">
        <v>306</v>
      </c>
      <c r="D23" t="s">
        <v>310</v>
      </c>
      <c r="E23">
        <v>50</v>
      </c>
      <c r="F23">
        <v>1950</v>
      </c>
      <c r="G23">
        <v>330</v>
      </c>
    </row>
    <row r="25" spans="2:7" ht="15.75" customHeight="1">
      <c r="B25" s="54" t="b" cm="1">
        <f t="array" ref="B25:G31">tblSolution[#All]=B8:G14</f>
        <v>1</v>
      </c>
      <c r="C25" s="54" t="b">
        <v>1</v>
      </c>
      <c r="D25" s="54" t="b">
        <v>1</v>
      </c>
      <c r="E25" s="54" t="b">
        <v>1</v>
      </c>
      <c r="F25" s="54" t="b">
        <v>1</v>
      </c>
      <c r="G25" s="54" t="b">
        <v>1</v>
      </c>
    </row>
    <row r="26" spans="2:7" ht="15.75" customHeight="1">
      <c r="B26" s="54" t="b">
        <v>1</v>
      </c>
      <c r="C26" s="54" t="b">
        <v>1</v>
      </c>
      <c r="D26" s="54" t="b">
        <v>1</v>
      </c>
      <c r="E26" s="54" t="b">
        <v>1</v>
      </c>
      <c r="F26" s="54" t="b">
        <v>1</v>
      </c>
      <c r="G26" s="54" t="b">
        <v>1</v>
      </c>
    </row>
    <row r="27" spans="2:7" ht="15.75" customHeight="1">
      <c r="B27" s="54" t="b">
        <v>1</v>
      </c>
      <c r="C27" s="54" t="b">
        <v>1</v>
      </c>
      <c r="D27" s="54" t="b">
        <v>1</v>
      </c>
      <c r="E27" s="54" t="b">
        <v>1</v>
      </c>
      <c r="F27" s="54" t="b">
        <v>1</v>
      </c>
      <c r="G27" s="54" t="b">
        <v>1</v>
      </c>
    </row>
    <row r="28" spans="2:7" ht="15.75" customHeight="1">
      <c r="B28" s="54" t="b">
        <v>1</v>
      </c>
      <c r="C28" s="54" t="b">
        <v>1</v>
      </c>
      <c r="D28" s="54" t="b">
        <v>1</v>
      </c>
      <c r="E28" s="54" t="b">
        <v>1</v>
      </c>
      <c r="F28" s="54" t="b">
        <v>1</v>
      </c>
      <c r="G28" s="54" t="b">
        <v>1</v>
      </c>
    </row>
    <row r="29" spans="2:7" ht="15.75" customHeight="1">
      <c r="B29" s="54" t="b">
        <v>1</v>
      </c>
      <c r="C29" s="54" t="b">
        <v>1</v>
      </c>
      <c r="D29" s="54" t="b">
        <v>1</v>
      </c>
      <c r="E29" s="54" t="b">
        <v>1</v>
      </c>
      <c r="F29" s="54" t="b">
        <v>1</v>
      </c>
      <c r="G29" s="54" t="b">
        <v>1</v>
      </c>
    </row>
    <row r="30" spans="2:7" ht="15.75" customHeight="1">
      <c r="B30" s="54" t="b">
        <v>1</v>
      </c>
      <c r="C30" s="54" t="b">
        <v>1</v>
      </c>
      <c r="D30" s="54" t="b">
        <v>1</v>
      </c>
      <c r="E30" s="54" t="b">
        <v>1</v>
      </c>
      <c r="F30" s="54" t="b">
        <v>1</v>
      </c>
      <c r="G30" s="54" t="b">
        <v>1</v>
      </c>
    </row>
    <row r="31" spans="2:7" ht="15.75" customHeight="1">
      <c r="B31" s="54" t="b">
        <v>1</v>
      </c>
      <c r="C31" s="54" t="b">
        <v>1</v>
      </c>
      <c r="D31" s="54" t="b">
        <v>1</v>
      </c>
      <c r="E31" s="54" t="b">
        <v>1</v>
      </c>
      <c r="F31" s="54" t="b">
        <v>1</v>
      </c>
      <c r="G31" s="54" t="b">
        <v>1</v>
      </c>
    </row>
  </sheetData>
  <mergeCells count="1">
    <mergeCell ref="B7:G7"/>
  </mergeCells>
  <pageMargins left="0.7" right="0.7" top="0.75" bottom="0.75" header="0.3" footer="0.3"/>
  <drawing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AAB8-9E93-49D4-98B1-0F6B303C9E0F}">
  <sheetPr>
    <outlinePr summaryBelow="0" summaryRight="0"/>
  </sheetPr>
  <dimension ref="A1:E7"/>
  <sheetViews>
    <sheetView workbookViewId="0">
      <selection activeCell="E3" sqref="E3"/>
    </sheetView>
  </sheetViews>
  <sheetFormatPr defaultColWidth="12.5703125" defaultRowHeight="15.75" customHeight="1"/>
  <cols>
    <col min="1" max="1" width="31.85546875" style="54" bestFit="1" customWidth="1"/>
    <col min="2" max="2" width="12.5703125" style="54"/>
    <col min="3" max="3" width="24.7109375" style="54" customWidth="1"/>
    <col min="4" max="16384" width="12.5703125" style="54"/>
  </cols>
  <sheetData>
    <row r="1" spans="1:5" ht="15.75" customHeight="1">
      <c r="A1" s="52" t="s">
        <v>0</v>
      </c>
      <c r="B1" s="52" t="s">
        <v>311</v>
      </c>
      <c r="C1" s="67" t="s">
        <v>27</v>
      </c>
    </row>
    <row r="2" spans="1:5" ht="15.75" customHeight="1">
      <c r="A2" s="55" t="s">
        <v>312</v>
      </c>
      <c r="B2" s="55" t="s">
        <v>313</v>
      </c>
      <c r="C2" s="55" t="s">
        <v>314</v>
      </c>
      <c r="E2" s="54" t="str" cm="1">
        <f t="array" ref="E2:E7">_xlfn.MAP(A2:A7,B2:B7, _xlfn.LAMBDA(_xlpm.s,_xlpm.l, _xlfn.LET( _xlpm.split, _xlfn.TEXTSPLIT(_xlpm.s,," "), _xlpm.filter, _xlfn._xlws.FILTER(_xlpm.split, ISNUMBER(FIND(_xlpm.l, _xlpm.split))), _xlpm.sol, _xlfn.TEXTJOIN(", ", 1, _xlpm.filter), _xlpm.sol)))</f>
        <v>Formula, Challenge, Day</v>
      </c>
    </row>
    <row r="3" spans="1:5" ht="15.75" customHeight="1">
      <c r="A3" s="55" t="s">
        <v>315</v>
      </c>
      <c r="B3" s="55" t="s">
        <v>316</v>
      </c>
      <c r="C3" s="55" t="s">
        <v>317</v>
      </c>
      <c r="E3" s="54" t="str">
        <v>Analytics, Action</v>
      </c>
    </row>
    <row r="4" spans="1:5" ht="15.75" customHeight="1">
      <c r="A4" s="55" t="s">
        <v>318</v>
      </c>
      <c r="B4" s="55" t="s">
        <v>319</v>
      </c>
      <c r="C4" s="55" t="s">
        <v>320</v>
      </c>
      <c r="E4" s="54" t="str">
        <v>Automation</v>
      </c>
    </row>
    <row r="5" spans="1:5" ht="15.75" customHeight="1">
      <c r="A5" s="55" t="s">
        <v>321</v>
      </c>
      <c r="B5" s="55" t="s">
        <v>69</v>
      </c>
      <c r="C5" s="55" t="s">
        <v>322</v>
      </c>
      <c r="E5" s="54" t="str">
        <v>Always, Aim, Amazing, Accuracy</v>
      </c>
    </row>
    <row r="6" spans="1:5" ht="15.75" customHeight="1">
      <c r="A6" s="55" t="s">
        <v>323</v>
      </c>
      <c r="B6" s="55" t="s">
        <v>324</v>
      </c>
      <c r="C6" s="55" t="s">
        <v>325</v>
      </c>
      <c r="E6" s="54" t="e" vm="1">
        <v>#VALUE!</v>
      </c>
    </row>
    <row r="7" spans="1:5" ht="15.75" customHeight="1">
      <c r="A7" s="55" t="s">
        <v>326</v>
      </c>
      <c r="B7" s="55" t="s">
        <v>327</v>
      </c>
      <c r="C7" s="55" t="s">
        <v>328</v>
      </c>
      <c r="E7" s="54" t="str">
        <v>Keep, Learning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E851E-559D-46F0-91B3-BC3845B4E73A}">
  <sheetPr>
    <outlinePr summaryBelow="0" summaryRight="0"/>
  </sheetPr>
  <dimension ref="A1:G10"/>
  <sheetViews>
    <sheetView workbookViewId="0">
      <selection activeCell="D3" sqref="D3"/>
    </sheetView>
  </sheetViews>
  <sheetFormatPr defaultColWidth="12.5703125" defaultRowHeight="15.75" customHeight="1"/>
  <cols>
    <col min="1" max="1" width="39" style="54" customWidth="1"/>
    <col min="2" max="2" width="31.28515625" style="54" customWidth="1"/>
    <col min="3" max="16384" width="12.5703125" style="54"/>
  </cols>
  <sheetData>
    <row r="1" spans="1:7" ht="15.75" customHeight="1">
      <c r="A1" s="52" t="s">
        <v>0</v>
      </c>
      <c r="B1" s="68" t="s">
        <v>27</v>
      </c>
    </row>
    <row r="2" spans="1:7" ht="15.75" customHeight="1">
      <c r="A2" s="69" t="s">
        <v>329</v>
      </c>
      <c r="B2" s="69" t="s">
        <v>330</v>
      </c>
      <c r="D2" s="54" t="str" cm="1">
        <f t="array" ref="D2:D10">_xlfn.MAP(A2:A10, _xlfn.LAMBDA(_xlpm.r, _xlfn.LET( _xlpm.split, _xlfn.TEXTSPLIT(_xlpm.r,," ",1), _xlpm.dist, _xlfn.UNIQUE(_xlpm.split), _xlpm.res, _xlfn.TEXTJOIN(", ", 1, _xlpm.dist), _xlpm.res)))</f>
        <v>Red, Blue, Green, Yellow</v>
      </c>
      <c r="G2" s="54" t="b" cm="1">
        <f t="array" ref="G2:G10">_xlfn.ANCHORARRAY(D2)=B2:B10</f>
        <v>1</v>
      </c>
    </row>
    <row r="3" spans="1:7" ht="15.75" customHeight="1">
      <c r="A3" s="69" t="s">
        <v>331</v>
      </c>
      <c r="B3" s="69" t="s">
        <v>332</v>
      </c>
      <c r="D3" s="54" t="str">
        <v>Apple, Banana, Orange, Mango</v>
      </c>
      <c r="G3" s="54" t="b">
        <v>1</v>
      </c>
    </row>
    <row r="4" spans="1:7" ht="15.75" customHeight="1">
      <c r="A4" s="69" t="s">
        <v>333</v>
      </c>
      <c r="B4" s="69" t="s">
        <v>334</v>
      </c>
      <c r="D4" s="54" t="str">
        <v>Sun, Moon, Star, Sky</v>
      </c>
      <c r="G4" s="54" t="b">
        <v>1</v>
      </c>
    </row>
    <row r="5" spans="1:7" ht="15.75" customHeight="1">
      <c r="A5" s="69" t="s">
        <v>335</v>
      </c>
      <c r="B5" s="69" t="s">
        <v>336</v>
      </c>
      <c r="D5" s="54" t="str">
        <v>Excel, Power, Query, Automate, BI</v>
      </c>
      <c r="G5" s="54" t="b">
        <v>1</v>
      </c>
    </row>
    <row r="6" spans="1:7" ht="15.75" customHeight="1">
      <c r="A6" s="69" t="s">
        <v>337</v>
      </c>
      <c r="B6" s="69" t="s">
        <v>338</v>
      </c>
      <c r="D6" s="54" t="str">
        <v>Learn, Excel</v>
      </c>
      <c r="G6" s="54" t="b">
        <v>1</v>
      </c>
    </row>
    <row r="7" spans="1:7" ht="15.75" customHeight="1">
      <c r="A7" s="69" t="s">
        <v>339</v>
      </c>
      <c r="B7" s="69" t="s">
        <v>340</v>
      </c>
      <c r="D7" s="54" t="str">
        <v>Blue</v>
      </c>
      <c r="G7" s="54" t="b">
        <v>1</v>
      </c>
    </row>
    <row r="8" spans="1:7" ht="15.75" customHeight="1">
      <c r="A8" s="69" t="s">
        <v>341</v>
      </c>
      <c r="B8" s="69" t="s">
        <v>342</v>
      </c>
      <c r="D8" s="54" t="str">
        <v>Red, Yellow, Green, Blue</v>
      </c>
      <c r="G8" s="54" t="b">
        <v>1</v>
      </c>
    </row>
    <row r="9" spans="1:7" ht="15.75" customHeight="1">
      <c r="A9" s="69" t="s">
        <v>343</v>
      </c>
      <c r="B9" s="69" t="s">
        <v>344</v>
      </c>
      <c r="D9" s="54" t="str">
        <v>Data, Analysis, Analytics, Excel, Power, BI</v>
      </c>
      <c r="G9" s="54" t="b">
        <v>1</v>
      </c>
    </row>
    <row r="10" spans="1:7" ht="15.75" customHeight="1">
      <c r="A10" s="69" t="s">
        <v>345</v>
      </c>
      <c r="B10" s="69" t="s">
        <v>346</v>
      </c>
      <c r="D10" s="54" t="str">
        <v>Cat, Dog, Bird, Fish</v>
      </c>
      <c r="G10" s="54" t="b">
        <v>1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0231E-53BF-4836-8B75-BF9E76EEF410}">
  <sheetPr>
    <outlinePr summaryBelow="0" summaryRight="0"/>
  </sheetPr>
  <dimension ref="A1:G5"/>
  <sheetViews>
    <sheetView workbookViewId="0">
      <selection activeCell="E3" sqref="E3"/>
    </sheetView>
  </sheetViews>
  <sheetFormatPr defaultColWidth="12.5703125" defaultRowHeight="15.75" customHeight="1"/>
  <cols>
    <col min="1" max="1" width="17.7109375" style="54" customWidth="1"/>
    <col min="2" max="2" width="7.42578125" style="54" customWidth="1"/>
    <col min="3" max="3" width="27.28515625" style="54" customWidth="1"/>
    <col min="4" max="16384" width="12.5703125" style="54"/>
  </cols>
  <sheetData>
    <row r="1" spans="1:7" ht="15.75" customHeight="1">
      <c r="A1" s="52" t="s">
        <v>347</v>
      </c>
      <c r="B1" s="52" t="s">
        <v>348</v>
      </c>
      <c r="C1" s="67" t="s">
        <v>27</v>
      </c>
    </row>
    <row r="2" spans="1:7" ht="15.75" customHeight="1">
      <c r="A2" s="69" t="s">
        <v>349</v>
      </c>
      <c r="B2" s="69" t="s">
        <v>350</v>
      </c>
      <c r="C2" s="69" t="s">
        <v>351</v>
      </c>
      <c r="E2" s="54" t="str" cm="1">
        <f t="array" ref="E2:E5">_xlfn.LET(
_xlpm.list1, A2:A5,
_xlpm.list2, B2:B5,
_xlpm.map, _xlfn.MAP(_xlpm.list1, _xlpm.list2, _xlfn.LAMBDA(_xlpm.l,_xlpm.r, _xlfn.TEXTJOIN(", ", 1, _xlfn.TOCOL(_xlfn.HSTACK(_xlfn.TEXTSPLIT(_xlpm.l,,","), _xlfn.TEXTSPLIT(_xlpm.r,,",")),3,0)))),
_xlpm.map)</f>
        <v>A, 1, B, 2, C, 3</v>
      </c>
      <c r="G2" s="54" t="b" cm="1">
        <f t="array" ref="G2:G5">_xlfn.ANCHORARRAY(E2)=C2:C5</f>
        <v>1</v>
      </c>
    </row>
    <row r="3" spans="1:7" ht="15.75" customHeight="1">
      <c r="A3" s="69" t="s">
        <v>352</v>
      </c>
      <c r="B3" s="69" t="s">
        <v>353</v>
      </c>
      <c r="C3" s="69" t="s">
        <v>354</v>
      </c>
      <c r="E3" s="54" t="str">
        <v>X, 5, Y, 6, 7</v>
      </c>
      <c r="G3" s="54" t="b">
        <v>1</v>
      </c>
    </row>
    <row r="4" spans="1:7" ht="15.75" customHeight="1">
      <c r="A4" s="69" t="s">
        <v>355</v>
      </c>
      <c r="B4" s="69" t="s">
        <v>356</v>
      </c>
      <c r="C4" s="69" t="s">
        <v>357</v>
      </c>
      <c r="E4" s="54" t="str">
        <v>Red, 10, Green, 20, Blue, 30, Yellow</v>
      </c>
      <c r="G4" s="54" t="b">
        <v>1</v>
      </c>
    </row>
    <row r="5" spans="1:7" ht="15.75" customHeight="1">
      <c r="A5" s="69" t="s">
        <v>358</v>
      </c>
      <c r="B5" s="69" t="s">
        <v>359</v>
      </c>
      <c r="C5" s="69" t="s">
        <v>360</v>
      </c>
      <c r="E5" s="54" t="str">
        <v>Jan, Q1, Feb, Q2, Mar, Apr</v>
      </c>
      <c r="G5" s="54" t="b">
        <v>1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D84F-DA77-4AA7-A0AD-7D8695470D19}">
  <sheetPr>
    <outlinePr summaryBelow="0" summaryRight="0"/>
  </sheetPr>
  <dimension ref="A1:O25"/>
  <sheetViews>
    <sheetView workbookViewId="0">
      <selection activeCell="J13" sqref="J13"/>
    </sheetView>
  </sheetViews>
  <sheetFormatPr defaultColWidth="12.5703125" defaultRowHeight="15.75" customHeight="1"/>
  <cols>
    <col min="1" max="5" width="12.5703125" style="54"/>
    <col min="6" max="6" width="23.42578125" style="54" customWidth="1"/>
    <col min="7" max="16384" width="12.5703125" style="54"/>
  </cols>
  <sheetData>
    <row r="1" spans="1:15" ht="15.75" customHeight="1">
      <c r="A1" s="52" t="s">
        <v>361</v>
      </c>
      <c r="B1" s="52" t="s">
        <v>362</v>
      </c>
      <c r="C1" s="52" t="s">
        <v>363</v>
      </c>
      <c r="D1" s="52" t="s">
        <v>364</v>
      </c>
      <c r="E1" s="52" t="s">
        <v>365</v>
      </c>
      <c r="F1" s="67" t="s">
        <v>27</v>
      </c>
    </row>
    <row r="2" spans="1:15" ht="15.75" customHeight="1">
      <c r="A2" s="61">
        <v>10</v>
      </c>
      <c r="B2" s="61">
        <v>20</v>
      </c>
      <c r="C2" s="61">
        <v>30</v>
      </c>
      <c r="D2" s="61">
        <v>40</v>
      </c>
      <c r="E2" s="55" t="s">
        <v>366</v>
      </c>
      <c r="F2" s="55" t="s">
        <v>367</v>
      </c>
      <c r="M2" s="54" t="str" cm="1">
        <f t="array" ref="M2:M11">_xlfn.LET(
_xlpm.data, A2:D11,
_xlpm.byrow, _xlfn.BYROW(_xlpm.data, _xlfn.LAMBDA(_xlpm.r, _xlfn.TEXTJOIN(";", 1, _xlpm.r))),
_xlpm.seq, E2:E11,
_xlpm.map, _xlfn.MAP(_xlpm.byrow, _xlpm.seq, _xlfn.LAMBDA(_xlpm.b,_xlpm.s, _xlfn.LET(_xlpm.splitT, _xlfn.TEXTSPLIT(_xlpm.b,,";"), _xlpm.splitS, --_xlfn.TEXTSPLIT(_xlpm.s,,","), _xlpm.sort, _xlfn.CHOOSEROWS(_xlpm.splitT, _xlpm.splitS), _xlpm.sol, _xlfn.TEXTJOIN(", ", 1, _xlpm.sort), _xlpm.sol))),
_xlpm.map)</f>
        <v>30, 10, 20, 40</v>
      </c>
      <c r="O2" s="54" t="b" cm="1">
        <f t="array" ref="O2:O11">_xlfn.ANCHORARRAY(M2)=F2:F11</f>
        <v>1</v>
      </c>
    </row>
    <row r="3" spans="1:15" ht="15.75" customHeight="1">
      <c r="A3" s="55" t="s">
        <v>69</v>
      </c>
      <c r="B3" s="55" t="s">
        <v>73</v>
      </c>
      <c r="C3" s="55" t="s">
        <v>124</v>
      </c>
      <c r="D3" s="55" t="s">
        <v>125</v>
      </c>
      <c r="E3" s="55" t="s">
        <v>368</v>
      </c>
      <c r="F3" s="55" t="s">
        <v>369</v>
      </c>
      <c r="M3" s="54" t="str">
        <v>B, C, A, D</v>
      </c>
      <c r="O3" s="54" t="b">
        <v>1</v>
      </c>
    </row>
    <row r="4" spans="1:15" ht="15.75" customHeight="1">
      <c r="A4" s="61">
        <v>5</v>
      </c>
      <c r="B4" s="61">
        <v>10</v>
      </c>
      <c r="C4" s="61">
        <v>15</v>
      </c>
      <c r="D4" s="61">
        <v>20</v>
      </c>
      <c r="E4" s="55" t="s">
        <v>370</v>
      </c>
      <c r="F4" s="55" t="s">
        <v>371</v>
      </c>
      <c r="M4" s="54" t="str">
        <v>20, 15, 10, 5</v>
      </c>
      <c r="O4" s="54" t="b">
        <v>1</v>
      </c>
    </row>
    <row r="5" spans="1:15" ht="15.75" customHeight="1">
      <c r="A5" s="55" t="s">
        <v>309</v>
      </c>
      <c r="B5" s="55" t="s">
        <v>310</v>
      </c>
      <c r="C5" s="55" t="s">
        <v>372</v>
      </c>
      <c r="D5" s="55" t="s">
        <v>373</v>
      </c>
      <c r="E5" s="55" t="s">
        <v>374</v>
      </c>
      <c r="F5" s="55" t="s">
        <v>375</v>
      </c>
      <c r="M5" s="54" t="str">
        <v>X, Z, W, Y</v>
      </c>
      <c r="O5" s="54" t="b">
        <v>1</v>
      </c>
    </row>
    <row r="6" spans="1:15" ht="15.75" customHeight="1">
      <c r="A6" s="61">
        <v>8</v>
      </c>
      <c r="B6" s="61">
        <v>9</v>
      </c>
      <c r="C6" s="61">
        <v>10</v>
      </c>
      <c r="D6" s="61">
        <v>11</v>
      </c>
      <c r="E6" s="55" t="s">
        <v>376</v>
      </c>
      <c r="F6" s="55" t="s">
        <v>377</v>
      </c>
      <c r="M6" s="54" t="str">
        <v>9, 11, 8, 10</v>
      </c>
      <c r="O6" s="54" t="b">
        <v>1</v>
      </c>
    </row>
    <row r="7" spans="1:15" ht="15.75" customHeight="1">
      <c r="A7" s="55" t="s">
        <v>340</v>
      </c>
      <c r="B7" s="55" t="s">
        <v>378</v>
      </c>
      <c r="C7" s="55" t="s">
        <v>379</v>
      </c>
      <c r="D7" s="55" t="s">
        <v>380</v>
      </c>
      <c r="E7" s="55" t="s">
        <v>381</v>
      </c>
      <c r="F7" s="55" t="s">
        <v>382</v>
      </c>
      <c r="M7" s="54" t="str">
        <v>Green, Yellow, Blue, Red</v>
      </c>
      <c r="O7" s="54" t="b">
        <v>1</v>
      </c>
    </row>
    <row r="8" spans="1:15" ht="15.75" customHeight="1">
      <c r="A8" s="55" t="s">
        <v>97</v>
      </c>
      <c r="B8" s="55" t="s">
        <v>383</v>
      </c>
      <c r="C8" s="55" t="s">
        <v>92</v>
      </c>
      <c r="D8" s="55" t="s">
        <v>95</v>
      </c>
      <c r="E8" s="55" t="s">
        <v>384</v>
      </c>
      <c r="F8" s="55" t="s">
        <v>385</v>
      </c>
      <c r="M8" s="54" t="str">
        <v>South, East, West, North</v>
      </c>
      <c r="O8" s="54" t="b">
        <v>1</v>
      </c>
    </row>
    <row r="9" spans="1:15" ht="15.75" customHeight="1">
      <c r="A9" s="55" t="s">
        <v>70</v>
      </c>
      <c r="B9" s="55" t="s">
        <v>72</v>
      </c>
      <c r="C9" s="55" t="s">
        <v>386</v>
      </c>
      <c r="D9" s="55" t="s">
        <v>75</v>
      </c>
      <c r="E9" s="55" t="s">
        <v>387</v>
      </c>
      <c r="F9" s="55" t="s">
        <v>388</v>
      </c>
      <c r="M9" s="54" t="str">
        <v>Banana, Mango, Cherry, Apple</v>
      </c>
      <c r="O9" s="54" t="b">
        <v>1</v>
      </c>
    </row>
    <row r="10" spans="1:15" ht="15.75" customHeight="1">
      <c r="A10" s="61">
        <v>25</v>
      </c>
      <c r="B10" s="61">
        <v>50</v>
      </c>
      <c r="C10" s="61">
        <v>75</v>
      </c>
      <c r="D10" s="61">
        <v>100</v>
      </c>
      <c r="E10" s="55" t="s">
        <v>389</v>
      </c>
      <c r="F10" s="55" t="s">
        <v>390</v>
      </c>
      <c r="M10" s="54" t="str">
        <v>25, 50, 100, 75</v>
      </c>
      <c r="O10" s="54" t="b">
        <v>1</v>
      </c>
    </row>
    <row r="11" spans="1:15" ht="15.75" customHeight="1">
      <c r="A11" s="55" t="s">
        <v>154</v>
      </c>
      <c r="B11" s="55" t="s">
        <v>156</v>
      </c>
      <c r="C11" s="55" t="s">
        <v>158</v>
      </c>
      <c r="D11" s="55" t="s">
        <v>160</v>
      </c>
      <c r="E11" s="55" t="s">
        <v>391</v>
      </c>
      <c r="F11" s="55" t="s">
        <v>392</v>
      </c>
      <c r="M11" s="54" t="str">
        <v>Q, P, S, R</v>
      </c>
      <c r="O11" s="54" t="b">
        <v>1</v>
      </c>
    </row>
    <row r="15" spans="1:15" ht="15.75" customHeight="1">
      <c r="M15" s="54">
        <v>10</v>
      </c>
      <c r="N15" s="54">
        <v>3</v>
      </c>
    </row>
    <row r="16" spans="1:15" ht="15.75" customHeight="1">
      <c r="M16" s="54">
        <v>20</v>
      </c>
      <c r="N16" s="54">
        <v>1</v>
      </c>
    </row>
    <row r="17" spans="13:14" ht="15.75" customHeight="1">
      <c r="M17" s="54">
        <v>30</v>
      </c>
      <c r="N17" s="54">
        <v>2</v>
      </c>
    </row>
    <row r="18" spans="13:14" ht="15.75" customHeight="1">
      <c r="M18" s="54">
        <v>40</v>
      </c>
      <c r="N18" s="54">
        <v>4</v>
      </c>
    </row>
    <row r="22" spans="13:14" ht="15.75" customHeight="1">
      <c r="N22" s="54" cm="1">
        <f t="array" ref="N22:N25">_xlfn.SORTBY(M15:M18,N15:N18)</f>
        <v>20</v>
      </c>
    </row>
    <row r="23" spans="13:14" ht="15.75" customHeight="1">
      <c r="N23" s="54">
        <v>30</v>
      </c>
    </row>
    <row r="24" spans="13:14" ht="15.75" customHeight="1">
      <c r="N24" s="54">
        <v>10</v>
      </c>
    </row>
    <row r="25" spans="13:14" ht="15.75" customHeight="1">
      <c r="N25" s="54">
        <v>40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E8C70-3865-48BE-B675-95088DB95234}">
  <sheetPr>
    <outlinePr summaryBelow="0" summaryRight="0"/>
  </sheetPr>
  <dimension ref="A1:H176"/>
  <sheetViews>
    <sheetView workbookViewId="0">
      <selection activeCell="F3" sqref="F3"/>
    </sheetView>
  </sheetViews>
  <sheetFormatPr defaultColWidth="12.5703125" defaultRowHeight="15.75" customHeight="1"/>
  <cols>
    <col min="1" max="1" width="23.140625" style="54" customWidth="1"/>
    <col min="2" max="16384" width="12.5703125" style="54"/>
  </cols>
  <sheetData>
    <row r="1" spans="1:8" ht="15.75" customHeight="1">
      <c r="A1" s="52" t="s">
        <v>0</v>
      </c>
      <c r="B1" s="67" t="s">
        <v>27</v>
      </c>
      <c r="D1" s="70" t="s">
        <v>393</v>
      </c>
    </row>
    <row r="2" spans="1:8" ht="15.75" customHeight="1">
      <c r="A2" s="55" t="s">
        <v>2</v>
      </c>
      <c r="B2" s="71" t="s">
        <v>394</v>
      </c>
      <c r="D2" s="55" t="s">
        <v>313</v>
      </c>
      <c r="F2" s="54" t="str" cm="1">
        <f t="array" ref="F2:F5">_xlfn.LET(
_xlpm.data, A2:A5,
_xlpm.stop, D2:D176,
_xlpm.map, _xlfn.MAP( _xlpm.data, _xlfn.LAMBDA(_xlpm.m, _xlfn.LET(_xlpm.split, _xlfn.TEXTSPLIT(_xlpm.m,," "), _xlpm.filter, _xlfn._xlws.FILTER(_xlpm.split, _xlfn.MAP(_xlpm.split, _xlfn.LAMBDA(_xlpm.s, SUM(--(_xlpm.s = _xlpm.stop))))=0,""), _xlpm.sol, _xlfn.CONCAT(_xlfn.MAP(_xlpm.filter, _xlfn.LAMBDA(_xlpm.c, UPPER(LEFT(_xlpm.c))))), _xlpm.sol))),
_xlpm.map)</f>
        <v>EMLF</v>
      </c>
      <c r="H2" s="54" t="b" cm="1">
        <f t="array" ref="H2:H5">_xlfn.ANCHORARRAY(F2)=B2:B5</f>
        <v>1</v>
      </c>
    </row>
    <row r="3" spans="1:8" ht="15.75" customHeight="1">
      <c r="A3" s="55" t="s">
        <v>395</v>
      </c>
      <c r="B3" s="71" t="s">
        <v>396</v>
      </c>
      <c r="D3" s="55" t="s">
        <v>397</v>
      </c>
      <c r="F3" s="54" t="str">
        <v>PQDA</v>
      </c>
      <c r="H3" s="54" t="b">
        <v>1</v>
      </c>
    </row>
    <row r="4" spans="1:8" ht="15.75" customHeight="1">
      <c r="A4" s="55" t="s">
        <v>398</v>
      </c>
      <c r="B4" s="71" t="s">
        <v>399</v>
      </c>
      <c r="D4" s="55" t="s">
        <v>400</v>
      </c>
      <c r="F4" s="54" t="str">
        <v>APS</v>
      </c>
      <c r="H4" s="54" t="b">
        <v>1</v>
      </c>
    </row>
    <row r="5" spans="1:8" ht="15.75" customHeight="1">
      <c r="A5" s="55" t="s">
        <v>401</v>
      </c>
      <c r="B5" s="71" t="s">
        <v>402</v>
      </c>
      <c r="D5" s="55" t="s">
        <v>403</v>
      </c>
      <c r="F5" s="54" t="str">
        <v>DAA</v>
      </c>
      <c r="H5" s="54" t="b">
        <v>1</v>
      </c>
    </row>
    <row r="6" spans="1:8" ht="15.75" customHeight="1">
      <c r="D6" s="55" t="s">
        <v>404</v>
      </c>
    </row>
    <row r="7" spans="1:8" ht="15.75" customHeight="1">
      <c r="D7" s="55" t="s">
        <v>405</v>
      </c>
    </row>
    <row r="8" spans="1:8" ht="15.75" customHeight="1">
      <c r="D8" s="55" t="s">
        <v>406</v>
      </c>
    </row>
    <row r="9" spans="1:8" ht="15.75" customHeight="1">
      <c r="D9" s="55" t="s">
        <v>407</v>
      </c>
    </row>
    <row r="10" spans="1:8" ht="15.75" customHeight="1">
      <c r="D10" s="55" t="s">
        <v>408</v>
      </c>
    </row>
    <row r="11" spans="1:8" ht="15.75" customHeight="1">
      <c r="D11" s="55" t="s">
        <v>409</v>
      </c>
    </row>
    <row r="12" spans="1:8" ht="15.75" customHeight="1">
      <c r="D12" s="55" t="s">
        <v>410</v>
      </c>
    </row>
    <row r="13" spans="1:8" ht="15">
      <c r="D13" s="55" t="s">
        <v>411</v>
      </c>
    </row>
    <row r="14" spans="1:8" ht="15">
      <c r="D14" s="55" t="s">
        <v>412</v>
      </c>
    </row>
    <row r="15" spans="1:8" ht="15">
      <c r="D15" s="55" t="s">
        <v>413</v>
      </c>
    </row>
    <row r="16" spans="1:8" ht="15">
      <c r="D16" s="55" t="s">
        <v>414</v>
      </c>
    </row>
    <row r="17" spans="4:4" ht="15">
      <c r="D17" s="55" t="s">
        <v>415</v>
      </c>
    </row>
    <row r="18" spans="4:4" ht="15">
      <c r="D18" s="55" t="s">
        <v>416</v>
      </c>
    </row>
    <row r="19" spans="4:4" ht="15">
      <c r="D19" s="55" t="s">
        <v>417</v>
      </c>
    </row>
    <row r="20" spans="4:4" ht="15">
      <c r="D20" s="55" t="s">
        <v>418</v>
      </c>
    </row>
    <row r="21" spans="4:4" ht="15">
      <c r="D21" s="55" t="s">
        <v>419</v>
      </c>
    </row>
    <row r="22" spans="4:4" ht="15">
      <c r="D22" s="55" t="s">
        <v>420</v>
      </c>
    </row>
    <row r="23" spans="4:4" ht="15">
      <c r="D23" s="55" t="s">
        <v>421</v>
      </c>
    </row>
    <row r="24" spans="4:4" ht="15">
      <c r="D24" s="55" t="s">
        <v>422</v>
      </c>
    </row>
    <row r="25" spans="4:4" ht="15">
      <c r="D25" s="55" t="s">
        <v>423</v>
      </c>
    </row>
    <row r="26" spans="4:4" ht="15">
      <c r="D26" s="55" t="s">
        <v>424</v>
      </c>
    </row>
    <row r="27" spans="4:4" ht="15">
      <c r="D27" s="55" t="s">
        <v>425</v>
      </c>
    </row>
    <row r="28" spans="4:4" ht="15">
      <c r="D28" s="55" t="s">
        <v>426</v>
      </c>
    </row>
    <row r="29" spans="4:4" ht="15">
      <c r="D29" s="55" t="s">
        <v>427</v>
      </c>
    </row>
    <row r="30" spans="4:4" ht="15">
      <c r="D30" s="55" t="s">
        <v>428</v>
      </c>
    </row>
    <row r="31" spans="4:4" ht="15">
      <c r="D31" s="55" t="s">
        <v>429</v>
      </c>
    </row>
    <row r="32" spans="4:4" ht="15">
      <c r="D32" s="55" t="s">
        <v>430</v>
      </c>
    </row>
    <row r="33" spans="4:4" ht="15">
      <c r="D33" s="55" t="s">
        <v>431</v>
      </c>
    </row>
    <row r="34" spans="4:4" ht="15">
      <c r="D34" s="55" t="s">
        <v>432</v>
      </c>
    </row>
    <row r="35" spans="4:4" ht="15">
      <c r="D35" s="55" t="s">
        <v>433</v>
      </c>
    </row>
    <row r="36" spans="4:4" ht="15">
      <c r="D36" s="55" t="s">
        <v>434</v>
      </c>
    </row>
    <row r="37" spans="4:4" ht="15">
      <c r="D37" s="55" t="s">
        <v>435</v>
      </c>
    </row>
    <row r="38" spans="4:4" ht="15">
      <c r="D38" s="55" t="s">
        <v>436</v>
      </c>
    </row>
    <row r="39" spans="4:4" ht="15">
      <c r="D39" s="55" t="s">
        <v>437</v>
      </c>
    </row>
    <row r="40" spans="4:4" ht="15">
      <c r="D40" s="55" t="s">
        <v>438</v>
      </c>
    </row>
    <row r="41" spans="4:4" ht="15">
      <c r="D41" s="55" t="s">
        <v>439</v>
      </c>
    </row>
    <row r="42" spans="4:4" ht="15">
      <c r="D42" s="55" t="s">
        <v>440</v>
      </c>
    </row>
    <row r="43" spans="4:4" ht="15">
      <c r="D43" s="55" t="s">
        <v>441</v>
      </c>
    </row>
    <row r="44" spans="4:4" ht="15">
      <c r="D44" s="55" t="s">
        <v>442</v>
      </c>
    </row>
    <row r="45" spans="4:4" ht="15">
      <c r="D45" s="55" t="s">
        <v>443</v>
      </c>
    </row>
    <row r="46" spans="4:4" ht="15">
      <c r="D46" s="55" t="s">
        <v>444</v>
      </c>
    </row>
    <row r="47" spans="4:4" ht="15">
      <c r="D47" s="55" t="s">
        <v>445</v>
      </c>
    </row>
    <row r="48" spans="4:4" ht="15">
      <c r="D48" s="55" t="s">
        <v>446</v>
      </c>
    </row>
    <row r="49" spans="4:4" ht="15">
      <c r="D49" s="55" t="s">
        <v>447</v>
      </c>
    </row>
    <row r="50" spans="4:4" ht="15">
      <c r="D50" s="55" t="s">
        <v>448</v>
      </c>
    </row>
    <row r="51" spans="4:4" ht="15">
      <c r="D51" s="55" t="s">
        <v>449</v>
      </c>
    </row>
    <row r="52" spans="4:4" ht="15">
      <c r="D52" s="55" t="s">
        <v>450</v>
      </c>
    </row>
    <row r="53" spans="4:4" ht="15">
      <c r="D53" s="55" t="s">
        <v>451</v>
      </c>
    </row>
    <row r="54" spans="4:4" ht="15">
      <c r="D54" s="55" t="s">
        <v>452</v>
      </c>
    </row>
    <row r="55" spans="4:4" ht="15">
      <c r="D55" s="55" t="s">
        <v>453</v>
      </c>
    </row>
    <row r="56" spans="4:4" ht="15">
      <c r="D56" s="55" t="s">
        <v>454</v>
      </c>
    </row>
    <row r="57" spans="4:4" ht="15">
      <c r="D57" s="55" t="s">
        <v>455</v>
      </c>
    </row>
    <row r="58" spans="4:4" ht="15">
      <c r="D58" s="55" t="s">
        <v>456</v>
      </c>
    </row>
    <row r="59" spans="4:4" ht="15">
      <c r="D59" s="55" t="s">
        <v>457</v>
      </c>
    </row>
    <row r="60" spans="4:4" ht="15">
      <c r="D60" s="55" t="s">
        <v>458</v>
      </c>
    </row>
    <row r="61" spans="4:4" ht="15">
      <c r="D61" s="55" t="s">
        <v>459</v>
      </c>
    </row>
    <row r="62" spans="4:4" ht="15">
      <c r="D62" s="55" t="s">
        <v>460</v>
      </c>
    </row>
    <row r="63" spans="4:4" ht="15">
      <c r="D63" s="55" t="s">
        <v>461</v>
      </c>
    </row>
    <row r="64" spans="4:4" ht="15">
      <c r="D64" s="55" t="s">
        <v>462</v>
      </c>
    </row>
    <row r="65" spans="4:4" ht="15">
      <c r="D65" s="55" t="s">
        <v>463</v>
      </c>
    </row>
    <row r="66" spans="4:4" ht="15">
      <c r="D66" s="55" t="s">
        <v>464</v>
      </c>
    </row>
    <row r="67" spans="4:4" ht="15">
      <c r="D67" s="55" t="s">
        <v>465</v>
      </c>
    </row>
    <row r="68" spans="4:4" ht="15">
      <c r="D68" s="55" t="s">
        <v>466</v>
      </c>
    </row>
    <row r="69" spans="4:4" ht="15">
      <c r="D69" s="55" t="s">
        <v>467</v>
      </c>
    </row>
    <row r="70" spans="4:4" ht="15">
      <c r="D70" s="55" t="s">
        <v>468</v>
      </c>
    </row>
    <row r="71" spans="4:4" ht="15">
      <c r="D71" s="55" t="s">
        <v>469</v>
      </c>
    </row>
    <row r="72" spans="4:4" ht="15">
      <c r="D72" s="55" t="s">
        <v>470</v>
      </c>
    </row>
    <row r="73" spans="4:4" ht="15">
      <c r="D73" s="55" t="s">
        <v>471</v>
      </c>
    </row>
    <row r="74" spans="4:4" ht="15">
      <c r="D74" s="55" t="s">
        <v>472</v>
      </c>
    </row>
    <row r="75" spans="4:4" ht="15">
      <c r="D75" s="55" t="s">
        <v>63</v>
      </c>
    </row>
    <row r="76" spans="4:4" ht="15">
      <c r="D76" s="55" t="s">
        <v>473</v>
      </c>
    </row>
    <row r="77" spans="4:4" ht="15">
      <c r="D77" s="55" t="s">
        <v>474</v>
      </c>
    </row>
    <row r="78" spans="4:4" ht="15">
      <c r="D78" s="55" t="s">
        <v>475</v>
      </c>
    </row>
    <row r="79" spans="4:4" ht="15">
      <c r="D79" s="55" t="s">
        <v>476</v>
      </c>
    </row>
    <row r="80" spans="4:4" ht="15">
      <c r="D80" s="55" t="s">
        <v>477</v>
      </c>
    </row>
    <row r="81" spans="4:4" ht="15">
      <c r="D81" s="55" t="s">
        <v>478</v>
      </c>
    </row>
    <row r="82" spans="4:4" ht="15">
      <c r="D82" s="55" t="s">
        <v>479</v>
      </c>
    </row>
    <row r="83" spans="4:4" ht="15">
      <c r="D83" s="55" t="s">
        <v>480</v>
      </c>
    </row>
    <row r="84" spans="4:4" ht="15">
      <c r="D84" s="55" t="s">
        <v>481</v>
      </c>
    </row>
    <row r="85" spans="4:4" ht="15">
      <c r="D85" s="55" t="s">
        <v>482</v>
      </c>
    </row>
    <row r="86" spans="4:4" ht="15">
      <c r="D86" s="55" t="s">
        <v>483</v>
      </c>
    </row>
    <row r="87" spans="4:4" ht="15">
      <c r="D87" s="55" t="s">
        <v>484</v>
      </c>
    </row>
    <row r="88" spans="4:4" ht="15">
      <c r="D88" s="55" t="s">
        <v>485</v>
      </c>
    </row>
    <row r="89" spans="4:4" ht="15">
      <c r="D89" s="55" t="s">
        <v>486</v>
      </c>
    </row>
    <row r="90" spans="4:4" ht="15">
      <c r="D90" s="55" t="s">
        <v>487</v>
      </c>
    </row>
    <row r="91" spans="4:4" ht="15">
      <c r="D91" s="55" t="s">
        <v>488</v>
      </c>
    </row>
    <row r="92" spans="4:4" ht="15">
      <c r="D92" s="55" t="s">
        <v>489</v>
      </c>
    </row>
    <row r="93" spans="4:4" ht="15">
      <c r="D93" s="55" t="s">
        <v>490</v>
      </c>
    </row>
    <row r="94" spans="4:4" ht="15">
      <c r="D94" s="55" t="s">
        <v>491</v>
      </c>
    </row>
    <row r="95" spans="4:4" ht="15">
      <c r="D95" s="55" t="s">
        <v>492</v>
      </c>
    </row>
    <row r="96" spans="4:4" ht="15">
      <c r="D96" s="55" t="s">
        <v>493</v>
      </c>
    </row>
    <row r="97" spans="4:4" ht="15">
      <c r="D97" s="55" t="s">
        <v>494</v>
      </c>
    </row>
    <row r="98" spans="4:4" ht="15">
      <c r="D98" s="55" t="s">
        <v>495</v>
      </c>
    </row>
    <row r="99" spans="4:4" ht="15">
      <c r="D99" s="55" t="s">
        <v>496</v>
      </c>
    </row>
    <row r="100" spans="4:4" ht="15">
      <c r="D100" s="55" t="s">
        <v>497</v>
      </c>
    </row>
    <row r="101" spans="4:4" ht="15">
      <c r="D101" s="55" t="s">
        <v>498</v>
      </c>
    </row>
    <row r="102" spans="4:4" ht="15">
      <c r="D102" s="55" t="s">
        <v>499</v>
      </c>
    </row>
    <row r="103" spans="4:4" ht="15">
      <c r="D103" s="55" t="s">
        <v>500</v>
      </c>
    </row>
    <row r="104" spans="4:4" ht="15">
      <c r="D104" s="55" t="s">
        <v>501</v>
      </c>
    </row>
    <row r="105" spans="4:4" ht="15">
      <c r="D105" s="55" t="s">
        <v>502</v>
      </c>
    </row>
    <row r="106" spans="4:4" ht="15">
      <c r="D106" s="55" t="s">
        <v>503</v>
      </c>
    </row>
    <row r="107" spans="4:4" ht="15">
      <c r="D107" s="55" t="s">
        <v>504</v>
      </c>
    </row>
    <row r="108" spans="4:4" ht="15">
      <c r="D108" s="55" t="s">
        <v>505</v>
      </c>
    </row>
    <row r="109" spans="4:4" ht="15">
      <c r="D109" s="55" t="s">
        <v>506</v>
      </c>
    </row>
    <row r="110" spans="4:4" ht="15">
      <c r="D110" s="55" t="s">
        <v>507</v>
      </c>
    </row>
    <row r="111" spans="4:4" ht="15">
      <c r="D111" s="55" t="s">
        <v>508</v>
      </c>
    </row>
    <row r="112" spans="4:4" ht="15">
      <c r="D112" s="55" t="s">
        <v>509</v>
      </c>
    </row>
    <row r="113" spans="4:4" ht="15">
      <c r="D113" s="55" t="s">
        <v>510</v>
      </c>
    </row>
    <row r="114" spans="4:4" ht="15">
      <c r="D114" s="55" t="s">
        <v>511</v>
      </c>
    </row>
    <row r="115" spans="4:4" ht="15">
      <c r="D115" s="55" t="s">
        <v>512</v>
      </c>
    </row>
    <row r="116" spans="4:4" ht="15">
      <c r="D116" s="55" t="s">
        <v>513</v>
      </c>
    </row>
    <row r="117" spans="4:4" ht="15">
      <c r="D117" s="55" t="s">
        <v>514</v>
      </c>
    </row>
    <row r="118" spans="4:4" ht="15">
      <c r="D118" s="55" t="s">
        <v>515</v>
      </c>
    </row>
    <row r="119" spans="4:4" ht="15">
      <c r="D119" s="55" t="s">
        <v>516</v>
      </c>
    </row>
    <row r="120" spans="4:4" ht="15">
      <c r="D120" s="55" t="s">
        <v>517</v>
      </c>
    </row>
    <row r="121" spans="4:4" ht="15">
      <c r="D121" s="55" t="s">
        <v>518</v>
      </c>
    </row>
    <row r="122" spans="4:4" ht="15">
      <c r="D122" s="55" t="s">
        <v>519</v>
      </c>
    </row>
    <row r="123" spans="4:4" ht="15">
      <c r="D123" s="55" t="s">
        <v>520</v>
      </c>
    </row>
    <row r="124" spans="4:4" ht="15">
      <c r="D124" s="55" t="s">
        <v>521</v>
      </c>
    </row>
    <row r="125" spans="4:4" ht="15">
      <c r="D125" s="55" t="s">
        <v>522</v>
      </c>
    </row>
    <row r="126" spans="4:4" ht="15">
      <c r="D126" s="55" t="s">
        <v>523</v>
      </c>
    </row>
    <row r="127" spans="4:4" ht="15">
      <c r="D127" s="55" t="s">
        <v>524</v>
      </c>
    </row>
    <row r="128" spans="4:4" ht="15">
      <c r="D128" s="55" t="s">
        <v>525</v>
      </c>
    </row>
    <row r="129" spans="4:4" ht="15">
      <c r="D129" s="55" t="s">
        <v>526</v>
      </c>
    </row>
    <row r="130" spans="4:4" ht="15">
      <c r="D130" s="55" t="s">
        <v>527</v>
      </c>
    </row>
    <row r="131" spans="4:4" ht="15">
      <c r="D131" s="55" t="s">
        <v>528</v>
      </c>
    </row>
    <row r="132" spans="4:4" ht="15">
      <c r="D132" s="55" t="s">
        <v>529</v>
      </c>
    </row>
    <row r="133" spans="4:4" ht="15">
      <c r="D133" s="55" t="s">
        <v>530</v>
      </c>
    </row>
    <row r="134" spans="4:4" ht="15">
      <c r="D134" s="55" t="s">
        <v>531</v>
      </c>
    </row>
    <row r="135" spans="4:4" ht="15">
      <c r="D135" s="55" t="s">
        <v>532</v>
      </c>
    </row>
    <row r="136" spans="4:4" ht="15">
      <c r="D136" s="55" t="s">
        <v>533</v>
      </c>
    </row>
    <row r="137" spans="4:4" ht="15">
      <c r="D137" s="55" t="s">
        <v>534</v>
      </c>
    </row>
    <row r="138" spans="4:4" ht="15">
      <c r="D138" s="55" t="s">
        <v>535</v>
      </c>
    </row>
    <row r="139" spans="4:4" ht="15">
      <c r="D139" s="55" t="s">
        <v>536</v>
      </c>
    </row>
    <row r="140" spans="4:4" ht="15">
      <c r="D140" s="55" t="s">
        <v>537</v>
      </c>
    </row>
    <row r="141" spans="4:4" ht="15">
      <c r="D141" s="55" t="s">
        <v>538</v>
      </c>
    </row>
    <row r="142" spans="4:4" ht="15">
      <c r="D142" s="55" t="s">
        <v>539</v>
      </c>
    </row>
    <row r="143" spans="4:4" ht="15">
      <c r="D143" s="55" t="s">
        <v>540</v>
      </c>
    </row>
    <row r="144" spans="4:4" ht="15">
      <c r="D144" s="55" t="s">
        <v>541</v>
      </c>
    </row>
    <row r="145" spans="4:4" ht="15">
      <c r="D145" s="55" t="s">
        <v>542</v>
      </c>
    </row>
    <row r="146" spans="4:4" ht="15">
      <c r="D146" s="55" t="s">
        <v>543</v>
      </c>
    </row>
    <row r="147" spans="4:4" ht="15">
      <c r="D147" s="55" t="s">
        <v>544</v>
      </c>
    </row>
    <row r="148" spans="4:4" ht="15">
      <c r="D148" s="55" t="s">
        <v>545</v>
      </c>
    </row>
    <row r="149" spans="4:4" ht="15">
      <c r="D149" s="55" t="s">
        <v>546</v>
      </c>
    </row>
    <row r="150" spans="4:4" ht="15">
      <c r="D150" s="55" t="s">
        <v>547</v>
      </c>
    </row>
    <row r="151" spans="4:4" ht="15">
      <c r="D151" s="55" t="s">
        <v>548</v>
      </c>
    </row>
    <row r="152" spans="4:4" ht="15">
      <c r="D152" s="55" t="s">
        <v>549</v>
      </c>
    </row>
    <row r="153" spans="4:4" ht="15">
      <c r="D153" s="55" t="s">
        <v>550</v>
      </c>
    </row>
    <row r="154" spans="4:4" ht="15">
      <c r="D154" s="55" t="s">
        <v>551</v>
      </c>
    </row>
    <row r="155" spans="4:4" ht="15">
      <c r="D155" s="55" t="s">
        <v>552</v>
      </c>
    </row>
    <row r="156" spans="4:4" ht="15">
      <c r="D156" s="55" t="s">
        <v>553</v>
      </c>
    </row>
    <row r="157" spans="4:4" ht="15">
      <c r="D157" s="55" t="s">
        <v>554</v>
      </c>
    </row>
    <row r="158" spans="4:4" ht="15">
      <c r="D158" s="55" t="s">
        <v>555</v>
      </c>
    </row>
    <row r="159" spans="4:4" ht="15">
      <c r="D159" s="55" t="s">
        <v>556</v>
      </c>
    </row>
    <row r="160" spans="4:4" ht="15">
      <c r="D160" s="55" t="s">
        <v>557</v>
      </c>
    </row>
    <row r="161" spans="4:4" ht="15">
      <c r="D161" s="55" t="s">
        <v>558</v>
      </c>
    </row>
    <row r="162" spans="4:4" ht="15">
      <c r="D162" s="55" t="s">
        <v>559</v>
      </c>
    </row>
    <row r="163" spans="4:4" ht="15">
      <c r="D163" s="55" t="s">
        <v>560</v>
      </c>
    </row>
    <row r="164" spans="4:4" ht="15">
      <c r="D164" s="55" t="s">
        <v>561</v>
      </c>
    </row>
    <row r="165" spans="4:4" ht="15">
      <c r="D165" s="55" t="s">
        <v>562</v>
      </c>
    </row>
    <row r="166" spans="4:4" ht="15">
      <c r="D166" s="55" t="s">
        <v>563</v>
      </c>
    </row>
    <row r="167" spans="4:4" ht="15">
      <c r="D167" s="55" t="s">
        <v>564</v>
      </c>
    </row>
    <row r="168" spans="4:4" ht="15">
      <c r="D168" s="55" t="s">
        <v>565</v>
      </c>
    </row>
    <row r="169" spans="4:4" ht="15">
      <c r="D169" s="55" t="s">
        <v>566</v>
      </c>
    </row>
    <row r="170" spans="4:4" ht="15">
      <c r="D170" s="55" t="s">
        <v>567</v>
      </c>
    </row>
    <row r="171" spans="4:4" ht="15">
      <c r="D171" s="55" t="s">
        <v>568</v>
      </c>
    </row>
    <row r="172" spans="4:4" ht="15">
      <c r="D172" s="55" t="s">
        <v>569</v>
      </c>
    </row>
    <row r="173" spans="4:4" ht="15">
      <c r="D173" s="55" t="s">
        <v>570</v>
      </c>
    </row>
    <row r="174" spans="4:4" ht="15">
      <c r="D174" s="55" t="s">
        <v>571</v>
      </c>
    </row>
    <row r="175" spans="4:4" ht="15">
      <c r="D175" s="55" t="s">
        <v>572</v>
      </c>
    </row>
    <row r="176" spans="4:4" ht="15">
      <c r="D176" s="55" t="s">
        <v>573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04A6F-1C72-4F08-8629-9BFF4D72FAE6}">
  <sheetPr>
    <outlinePr summaryBelow="0" summaryRight="0"/>
  </sheetPr>
  <dimension ref="A1:G7"/>
  <sheetViews>
    <sheetView workbookViewId="0">
      <selection activeCell="G3" sqref="G3"/>
    </sheetView>
  </sheetViews>
  <sheetFormatPr defaultColWidth="12.5703125" defaultRowHeight="15.75" customHeight="1"/>
  <cols>
    <col min="1" max="1" width="19.85546875" style="54" customWidth="1"/>
    <col min="2" max="2" width="19.5703125" style="54" customWidth="1"/>
    <col min="3" max="16384" width="12.5703125" style="54"/>
  </cols>
  <sheetData>
    <row r="1" spans="1:7" ht="15.75" customHeight="1">
      <c r="A1" s="52" t="s">
        <v>0</v>
      </c>
      <c r="B1" s="67" t="s">
        <v>27</v>
      </c>
    </row>
    <row r="2" spans="1:7" ht="15.75" customHeight="1">
      <c r="A2" s="55" t="s">
        <v>574</v>
      </c>
      <c r="B2" s="55" t="s">
        <v>575</v>
      </c>
      <c r="D2" s="54" t="str" cm="1">
        <f t="array" ref="D2:D7">_xlfn.LET(
_xlpm.data, A2:A7,
_xlpm.seq, REPT(CHAR(_xlfn.SEQUENCE(26,1, 97)), 2),
_xlpm.map, _xlfn.MAP(_xlpm.data, _xlfn.LAMBDA(_xlpm.m, _xlfn.LET(_xlpm.split, _xlfn.TEXTSPLIT(_xlpm.m,, " "), _xlpm.filter, _xlfn._xlws.FILTER(_xlpm.split, _xlfn.MAP(_xlpm.split, _xlfn.LAMBDA(_xlpm.s, SUM(--(ISNUMBER(FIND(_xlpm.seq, _xlpm.s)))))) &gt; 0, ""), _xlpm.res, _xlfn.TEXTJOIN(" ", 1, _xlpm.filter), _xlpm.res))),
_xlpm.map)</f>
        <v>good tool</v>
      </c>
      <c r="G2" s="54" t="b" cm="1">
        <f t="array" ref="G2:G7">_xlfn.ANCHORARRAY(D2)=B2:B7</f>
        <v>1</v>
      </c>
    </row>
    <row r="3" spans="1:7" ht="15.75" customHeight="1">
      <c r="A3" s="55" t="s">
        <v>576</v>
      </c>
      <c r="B3" s="55" t="s">
        <v>577</v>
      </c>
      <c r="D3" s="54" t="str">
        <v>Committee meeting soon</v>
      </c>
      <c r="G3" s="54" t="b">
        <v>1</v>
      </c>
    </row>
    <row r="4" spans="1:7" ht="15.75" customHeight="1">
      <c r="A4" s="55" t="s">
        <v>578</v>
      </c>
      <c r="B4" s="55"/>
      <c r="D4" s="54" t="str">
        <v/>
      </c>
      <c r="G4" s="54" t="b">
        <v>1</v>
      </c>
    </row>
    <row r="5" spans="1:7" ht="15.75" customHeight="1">
      <c r="A5" s="55" t="s">
        <v>579</v>
      </c>
      <c r="B5" s="55" t="s">
        <v>580</v>
      </c>
      <c r="D5" s="54" t="str">
        <v>coffee keeps</v>
      </c>
      <c r="G5" s="54" t="b">
        <v>1</v>
      </c>
    </row>
    <row r="6" spans="1:7" ht="15.75" customHeight="1">
      <c r="A6" s="55" t="s">
        <v>581</v>
      </c>
      <c r="B6" s="55" t="s">
        <v>581</v>
      </c>
      <c r="D6" s="54" t="str">
        <v>success needs effort</v>
      </c>
      <c r="G6" s="54" t="b">
        <v>1</v>
      </c>
    </row>
    <row r="7" spans="1:7" ht="15.75" customHeight="1">
      <c r="A7" s="55" t="s">
        <v>582</v>
      </c>
      <c r="B7" s="55" t="s">
        <v>582</v>
      </c>
      <c r="D7" s="54" t="str">
        <v>class book pool look</v>
      </c>
      <c r="G7" s="54" t="b">
        <v>1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7D778-BAFD-4AD3-B43B-AC74EFB44E09}">
  <sheetPr>
    <outlinePr summaryBelow="0" summaryRight="0"/>
  </sheetPr>
  <dimension ref="A1:F6"/>
  <sheetViews>
    <sheetView workbookViewId="0">
      <selection activeCell="D3" sqref="D3"/>
    </sheetView>
  </sheetViews>
  <sheetFormatPr defaultColWidth="12.5703125" defaultRowHeight="15.75" customHeight="1"/>
  <cols>
    <col min="1" max="1" width="22.7109375" style="54" customWidth="1"/>
    <col min="2" max="2" width="11.140625" style="54" bestFit="1" customWidth="1"/>
    <col min="3" max="16384" width="12.5703125" style="54"/>
  </cols>
  <sheetData>
    <row r="1" spans="1:6" ht="15.75" customHeight="1">
      <c r="A1" s="52" t="s">
        <v>0</v>
      </c>
      <c r="B1" s="67" t="s">
        <v>27</v>
      </c>
    </row>
    <row r="2" spans="1:6" ht="15.75" customHeight="1">
      <c r="A2" s="55" t="s">
        <v>2</v>
      </c>
      <c r="B2" s="55" t="s">
        <v>583</v>
      </c>
      <c r="D2" s="54" t="str" cm="1">
        <f t="array" ref="D2:D6">_xlfn.LET(
_xlpm.data, A2:A6,
_xlpm.map, _xlfn.MAP(_xlpm.data, _xlfn.LAMBDA(_xlpm.m, _xlfn.LET(_xlpm.split, _xlfn.TEXTSPLIT(_xlpm.m,," "), _xlpm.mp, _xlfn.MAP(_xlpm.split, _xlfn.LAMBDA(_xlpm.s, LEFT(_xlpm.s) &amp; RIGHT(_xlpm.s))), _xlpm.sol, _xlfn.TEXTJOIN(" ", 1, _xlpm.mp), _xlpm.sol))),
_xlpm.map)</f>
        <v>El ms lg fn</v>
      </c>
      <c r="F2" s="54" t="b" cm="1">
        <f t="array" ref="F2:F6">_xlfn.ANCHORARRAY(D2)=B2:B6</f>
        <v>1</v>
      </c>
    </row>
    <row r="3" spans="1:6" ht="15.75" customHeight="1">
      <c r="A3" s="55" t="s">
        <v>3</v>
      </c>
      <c r="B3" s="55" t="s">
        <v>584</v>
      </c>
      <c r="D3" s="54" t="str">
        <v>Pr Qy is ag</v>
      </c>
      <c r="F3" s="54" t="b">
        <v>1</v>
      </c>
    </row>
    <row r="4" spans="1:6" ht="15.75" customHeight="1">
      <c r="A4" s="55" t="s">
        <v>262</v>
      </c>
      <c r="B4" s="55" t="s">
        <v>585</v>
      </c>
      <c r="D4" s="54" t="str">
        <v>Da is pr</v>
      </c>
      <c r="F4" s="54" t="b">
        <v>1</v>
      </c>
    </row>
    <row r="5" spans="1:6" ht="15.75" customHeight="1">
      <c r="A5" s="55" t="s">
        <v>11</v>
      </c>
      <c r="B5" s="55" t="s">
        <v>586</v>
      </c>
      <c r="D5" s="54" t="str">
        <v>Pe ms yu pt</v>
      </c>
      <c r="F5" s="54" t="b">
        <v>1</v>
      </c>
    </row>
    <row r="6" spans="1:6" ht="15.75" customHeight="1">
      <c r="A6" s="55" t="s">
        <v>587</v>
      </c>
      <c r="B6" s="55" t="s">
        <v>588</v>
      </c>
      <c r="D6" s="54" t="str">
        <v>Dc ay fa mc</v>
      </c>
      <c r="F6" s="54" t="b">
        <v>1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6EF27-E41E-4BD2-B49E-CFCC65F7C033}">
  <dimension ref="A1:K13"/>
  <sheetViews>
    <sheetView showGridLines="0" workbookViewId="0">
      <selection activeCell="E10" sqref="E10"/>
    </sheetView>
  </sheetViews>
  <sheetFormatPr defaultColWidth="12.5703125" defaultRowHeight="15.75" customHeight="1"/>
  <cols>
    <col min="1" max="1" width="34" customWidth="1"/>
    <col min="2" max="3" width="29" bestFit="1" customWidth="1"/>
    <col min="5" max="6" width="27.7109375" bestFit="1" customWidth="1"/>
  </cols>
  <sheetData>
    <row r="1" spans="1:11" ht="15.75" customHeight="1" thickBot="1">
      <c r="A1" s="49" t="s">
        <v>0</v>
      </c>
      <c r="B1" s="50" t="s">
        <v>275</v>
      </c>
      <c r="C1" s="50" t="s">
        <v>276</v>
      </c>
      <c r="E1" t="str" cm="1">
        <f t="array" ref="E1:F5">_xlfn.LET(
_xlpm.data,A2:A5,
_xlpm.red,_xlfn.REDUCE(B1:C1,_xlpm.data,_xlfn.LAMBDA(_xlpm.state,_xlpm.curr,_xlfn.LET(
_xlpm.split,_xlfn.TEXTSPLIT(_xlpm.curr,," "),
_xlpm.len,COUNTA(_xlpm.split),
_xlpm.seq,_xlfn.SEQUENCE(_xlpm.len),
_xlpm.odd,_xlfn._xlws.FILTER(_xlpm.seq,ISODD(_xlpm.seq)),
_xlpm.even,_xlfn._xlws.FILTER(_xlpm.seq,ISEVEN(_xlpm.seq)),
_xlpm.res,_xlfn.VSTACK(_xlpm.state,_xlfn.HSTACK(_xlfn.TEXTJOIN(" ",1,_xlfn.CHOOSEROWS(_xlpm.split,_xlpm.odd)),_xlfn.TEXTJOIN(" ",1,_xlfn.CHOOSEROWS(_xlpm.split,_xlpm.even)))),
_xlpm.res))),
_xlpm.red)</f>
        <v>Odd words (1,3,5,…)</v>
      </c>
      <c r="F1" t="str">
        <v>Even words (2,4,6,…)</v>
      </c>
      <c r="H1" t="b" cm="1">
        <f t="array" ref="H1:I5">_xlfn.ANCHORARRAY(E1)=B1:C5</f>
        <v>1</v>
      </c>
      <c r="I1" t="b">
        <v>1</v>
      </c>
    </row>
    <row r="2" spans="1:11" ht="15.75" customHeight="1" thickBot="1">
      <c r="A2" s="51" t="s">
        <v>2</v>
      </c>
      <c r="B2" s="51" t="s">
        <v>277</v>
      </c>
      <c r="C2" s="51" t="s">
        <v>278</v>
      </c>
      <c r="E2" t="str">
        <v>Excel learning</v>
      </c>
      <c r="F2" t="str">
        <v>makes fun</v>
      </c>
      <c r="H2" t="b">
        <v>1</v>
      </c>
      <c r="I2" t="b">
        <v>1</v>
      </c>
    </row>
    <row r="3" spans="1:11" ht="15.75" customHeight="1" thickBot="1">
      <c r="A3" s="51" t="s">
        <v>3</v>
      </c>
      <c r="B3" s="51" t="s">
        <v>279</v>
      </c>
      <c r="C3" s="51" t="s">
        <v>280</v>
      </c>
      <c r="E3" t="str">
        <v>Power is</v>
      </c>
      <c r="F3" t="str">
        <v>Query amazing</v>
      </c>
      <c r="H3" t="b">
        <v>1</v>
      </c>
      <c r="I3" t="b">
        <v>1</v>
      </c>
    </row>
    <row r="4" spans="1:11" ht="15.75" customHeight="1" thickBot="1">
      <c r="A4" s="51" t="s">
        <v>281</v>
      </c>
      <c r="B4" s="51" t="s">
        <v>282</v>
      </c>
      <c r="C4" s="51" t="s">
        <v>283</v>
      </c>
      <c r="E4" t="str">
        <v>Data truly powerful</v>
      </c>
      <c r="F4" t="str">
        <v>is very</v>
      </c>
      <c r="H4" t="b">
        <v>1</v>
      </c>
      <c r="I4" t="b">
        <v>1</v>
      </c>
    </row>
    <row r="5" spans="1:11" ht="15.75" customHeight="1" thickBot="1">
      <c r="A5" s="51" t="s">
        <v>284</v>
      </c>
      <c r="B5" s="51" t="s">
        <v>285</v>
      </c>
      <c r="C5" s="51" t="s">
        <v>286</v>
      </c>
      <c r="E5" t="str">
        <v>Practice you daily</v>
      </c>
      <c r="F5" t="str">
        <v>makes perfect</v>
      </c>
      <c r="H5" t="b">
        <v>1</v>
      </c>
      <c r="I5" t="b">
        <v>1</v>
      </c>
    </row>
    <row r="6" spans="1:11" ht="15.75" customHeight="1">
      <c r="K6" s="48"/>
    </row>
    <row r="7" spans="1:11" ht="15.75" customHeight="1">
      <c r="A7" s="44"/>
      <c r="B7" s="44"/>
      <c r="C7" s="44"/>
      <c r="K7" s="48"/>
    </row>
    <row r="8" spans="1:11" ht="15.75" customHeight="1">
      <c r="A8" s="44"/>
      <c r="B8" s="44"/>
      <c r="C8" s="44"/>
      <c r="K8" s="48"/>
    </row>
    <row r="9" spans="1:11" ht="15.75" customHeight="1">
      <c r="A9" s="44"/>
      <c r="B9" s="44"/>
      <c r="C9" s="44"/>
    </row>
    <row r="10" spans="1:11" ht="15.75" customHeight="1">
      <c r="A10" s="44"/>
      <c r="B10" s="44"/>
    </row>
    <row r="11" spans="1:11" ht="15.75" customHeight="1">
      <c r="A11" s="44"/>
      <c r="B11" s="44"/>
      <c r="C11" s="44"/>
    </row>
    <row r="12" spans="1:11" ht="15.75" customHeight="1">
      <c r="A12" s="44"/>
      <c r="B12" s="44"/>
      <c r="C12" s="44"/>
    </row>
    <row r="13" spans="1:11" ht="15.75" customHeight="1">
      <c r="A13" s="44"/>
      <c r="B13" s="44"/>
      <c r="C13" s="44"/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91D8F-7A1A-4FF5-B014-65F5ED43DEB1}">
  <dimension ref="A1:K13"/>
  <sheetViews>
    <sheetView showGridLines="0" workbookViewId="0">
      <selection activeCell="M9" sqref="M9"/>
    </sheetView>
  </sheetViews>
  <sheetFormatPr defaultColWidth="12.5703125" defaultRowHeight="15.75" customHeight="1"/>
  <cols>
    <col min="1" max="1" width="34" customWidth="1"/>
    <col min="2" max="3" width="29" bestFit="1" customWidth="1"/>
    <col min="5" max="6" width="27.7109375" bestFit="1" customWidth="1"/>
  </cols>
  <sheetData>
    <row r="1" spans="1:11" ht="15.75" customHeight="1" thickBot="1">
      <c r="A1" s="49" t="s">
        <v>0</v>
      </c>
      <c r="B1" s="50" t="s">
        <v>267</v>
      </c>
      <c r="D1" t="str" cm="1">
        <f t="array" ref="D1:D7">_xlfn.LET(
_xlpm.data,A2:A7,
_xlpm.map, _xlfn.MAP(_xlpm.data, _xlfn.LAMBDA(_xlpm.m, _xlfn.LET(_xlpm.split, _xlfn.TEXTSPLIT(_xlpm.m, " "), _xlpm.len, COUNTA(_xlpm.split), _xlpm.first, _xlfn.TAKE(_xlpm.split,,1), _xlpm.last, _xlfn.TAKE(_xlpm.split,, -1), _xlpm.mid, _xlfn.DROP(_xlfn.DROP(_xlpm.split,,1),,-1), _xlpm.res, _xlfn.SWITCH(_xlpm.len, 1, _xlpm.first, 2, _xlpm.last &amp; " " &amp; _xlpm.first, _xlfn.TEXTJOIN(" ", 1, _xlpm.last, _xlpm.mid, _xlpm.first)), _xlpm.res))),
_xlpm.res, _xlfn.VSTACK("Swapped", _xlpm.map),
_xlpm.res)</f>
        <v>Swapped</v>
      </c>
      <c r="F1" t="b" cm="1">
        <f t="array" ref="F1:F7">_xlfn.ANCHORARRAY(D1)=B1:B7</f>
        <v>1</v>
      </c>
    </row>
    <row r="2" spans="1:11" ht="15.75" customHeight="1" thickBot="1">
      <c r="A2" s="51" t="s">
        <v>2</v>
      </c>
      <c r="B2" s="51" t="s">
        <v>268</v>
      </c>
      <c r="D2" t="str">
        <v>fun makes learning Excel</v>
      </c>
      <c r="F2" t="b">
        <v>1</v>
      </c>
    </row>
    <row r="3" spans="1:11" ht="15.75" customHeight="1" thickBot="1">
      <c r="A3" s="51" t="s">
        <v>3</v>
      </c>
      <c r="B3" s="51" t="s">
        <v>269</v>
      </c>
      <c r="D3" t="str">
        <v>amazing Query is Power</v>
      </c>
      <c r="F3" t="b">
        <v>1</v>
      </c>
    </row>
    <row r="4" spans="1:11" ht="15.75" customHeight="1" thickBot="1">
      <c r="A4" s="51" t="s">
        <v>262</v>
      </c>
      <c r="B4" s="51" t="s">
        <v>270</v>
      </c>
      <c r="D4" t="str">
        <v>power is Data</v>
      </c>
      <c r="F4" t="b">
        <v>1</v>
      </c>
    </row>
    <row r="5" spans="1:11" ht="15.75" customHeight="1" thickBot="1">
      <c r="A5" s="51" t="s">
        <v>11</v>
      </c>
      <c r="B5" s="51" t="s">
        <v>271</v>
      </c>
      <c r="D5" t="str">
        <v>perfect makes you Practice</v>
      </c>
      <c r="F5" t="b">
        <v>1</v>
      </c>
    </row>
    <row r="6" spans="1:11" ht="15.75" customHeight="1" thickBot="1">
      <c r="A6" s="51" t="s">
        <v>272</v>
      </c>
      <c r="B6" s="51" t="s">
        <v>272</v>
      </c>
      <c r="C6" s="44"/>
      <c r="D6" t="str">
        <v>Hello</v>
      </c>
      <c r="F6" t="b">
        <v>1</v>
      </c>
      <c r="K6" s="48"/>
    </row>
    <row r="7" spans="1:11" ht="15.75" customHeight="1" thickBot="1">
      <c r="A7" s="51" t="s">
        <v>273</v>
      </c>
      <c r="B7" s="51" t="s">
        <v>274</v>
      </c>
      <c r="C7" s="44"/>
      <c r="D7" t="str">
        <v>makes Practice</v>
      </c>
      <c r="F7" t="b">
        <v>1</v>
      </c>
      <c r="K7" s="48"/>
    </row>
    <row r="8" spans="1:11" ht="15.75" customHeight="1">
      <c r="A8" s="44"/>
      <c r="B8" s="44"/>
      <c r="C8" s="44"/>
      <c r="K8" s="48"/>
    </row>
    <row r="9" spans="1:11" ht="15.75" customHeight="1">
      <c r="A9" s="44"/>
      <c r="B9" s="44"/>
      <c r="C9" s="44"/>
    </row>
    <row r="10" spans="1:11" ht="15.75" customHeight="1">
      <c r="A10" s="44"/>
      <c r="B10" s="44"/>
    </row>
    <row r="11" spans="1:11" ht="15.75" customHeight="1">
      <c r="A11" s="44"/>
      <c r="B11" s="44"/>
      <c r="C11" s="44"/>
    </row>
    <row r="12" spans="1:11" ht="15.75" customHeight="1">
      <c r="A12" s="44"/>
      <c r="B12" s="44"/>
      <c r="C12" s="44"/>
    </row>
    <row r="13" spans="1:11" ht="15.75" customHeight="1">
      <c r="A13" s="44"/>
      <c r="B13" s="44"/>
      <c r="C13" s="44"/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5C840-048D-4A50-8348-7A1F53E615BF}">
  <dimension ref="A1:K13"/>
  <sheetViews>
    <sheetView showGridLines="0" workbookViewId="0">
      <selection activeCell="V17" sqref="V17"/>
    </sheetView>
  </sheetViews>
  <sheetFormatPr defaultColWidth="12.5703125" defaultRowHeight="15.75" customHeight="1"/>
  <cols>
    <col min="1" max="1" width="34" customWidth="1"/>
    <col min="2" max="3" width="29" bestFit="1" customWidth="1"/>
    <col min="5" max="6" width="27.7109375" bestFit="1" customWidth="1"/>
  </cols>
  <sheetData>
    <row r="1" spans="1:11" ht="15.75" customHeight="1">
      <c r="A1" s="45" t="s">
        <v>0</v>
      </c>
      <c r="B1" s="46" t="s">
        <v>256</v>
      </c>
      <c r="C1" s="46" t="s">
        <v>257</v>
      </c>
      <c r="E1" t="str" cm="1">
        <f t="array" ref="E1:F5">_xlfn.LET(
_xlpm.data,A2:A5,
_xlpm.map_1, _xlfn.MAP(_xlpm.data, _xlfn.LAMBDA(_xlpm.r, _xlfn.TEXTJOIN(" ", 1, _xlfn.SORTBY(_xlfn.TEXTSPLIT(_xlpm.r, " "), LEN(_xlfn.TEXTSPLIT(_xlpm.r, " ")),1, CODE(LOWER(LEFT(_xlfn.TEXTSPLIT(_xlpm.r, " ")))), 1)))),
_xlpm.map_2, _xlfn.MAP(_xlpm.data, _xlfn.LAMBDA(_xlpm.r, _xlfn.TEXTJOIN(" ", 1, _xlfn.SORTBY(_xlfn.TEXTSPLIT(_xlpm.r, " "), LEN(_xlfn.TEXTSPLIT(_xlpm.r, " ")),-1, CODE(LOWER(LEFT(_xlfn.TEXTSPLIT(_xlpm.r, " ")))), -1)))),
_xlpm.res, _xlfn.VSTACK({"Short → Long","Long → Short"}, _xlfn.HSTACK(_xlpm.map_1, _xlpm.map_2)),
_xlpm.res)</f>
        <v>Short → Long</v>
      </c>
      <c r="F1" t="str">
        <v>Long → Short</v>
      </c>
      <c r="H1" t="b" cm="1">
        <f t="array" ref="H1:I5">_xlfn.ANCHORARRAY(E1)=B1:C5</f>
        <v>1</v>
      </c>
      <c r="I1" t="b">
        <v>1</v>
      </c>
    </row>
    <row r="2" spans="1:11" ht="15.75" customHeight="1">
      <c r="A2" s="47" t="s">
        <v>2</v>
      </c>
      <c r="B2" s="47" t="s">
        <v>258</v>
      </c>
      <c r="C2" s="47" t="s">
        <v>259</v>
      </c>
      <c r="E2" t="str">
        <v>fun Excel makes learning</v>
      </c>
      <c r="F2" t="str">
        <v>learning makes Excel fun</v>
      </c>
      <c r="H2" t="b">
        <v>1</v>
      </c>
      <c r="I2" t="b">
        <v>1</v>
      </c>
    </row>
    <row r="3" spans="1:11" ht="15.75" customHeight="1">
      <c r="A3" s="47" t="s">
        <v>3</v>
      </c>
      <c r="B3" s="47" t="s">
        <v>260</v>
      </c>
      <c r="C3" s="47" t="s">
        <v>261</v>
      </c>
      <c r="E3" t="str">
        <v>is Power Query amazing</v>
      </c>
      <c r="F3" t="str">
        <v>amazing Query Power is</v>
      </c>
      <c r="H3" t="b">
        <v>1</v>
      </c>
      <c r="I3" t="b">
        <v>1</v>
      </c>
    </row>
    <row r="4" spans="1:11" ht="15.75" customHeight="1">
      <c r="A4" s="47" t="s">
        <v>262</v>
      </c>
      <c r="B4" s="47" t="s">
        <v>263</v>
      </c>
      <c r="C4" s="47" t="s">
        <v>264</v>
      </c>
      <c r="E4" t="str">
        <v>is Data power</v>
      </c>
      <c r="F4" t="str">
        <v>power Data is</v>
      </c>
      <c r="H4" t="b">
        <v>1</v>
      </c>
      <c r="I4" t="b">
        <v>1</v>
      </c>
    </row>
    <row r="5" spans="1:11" ht="15.75" customHeight="1">
      <c r="A5" s="47" t="s">
        <v>11</v>
      </c>
      <c r="B5" s="47" t="s">
        <v>265</v>
      </c>
      <c r="C5" s="47" t="s">
        <v>266</v>
      </c>
      <c r="E5" t="str">
        <v>you makes perfect Practice</v>
      </c>
      <c r="F5" t="str">
        <v>Practice perfect makes you</v>
      </c>
      <c r="H5" t="b">
        <v>1</v>
      </c>
      <c r="I5" t="b">
        <v>1</v>
      </c>
    </row>
    <row r="6" spans="1:11" ht="15.75" customHeight="1">
      <c r="A6" s="44"/>
      <c r="B6" s="44"/>
      <c r="C6" s="44"/>
      <c r="K6" s="48"/>
    </row>
    <row r="7" spans="1:11" ht="15.75" customHeight="1">
      <c r="A7" s="44"/>
      <c r="B7" s="44"/>
      <c r="C7" s="44"/>
      <c r="K7" s="48"/>
    </row>
    <row r="8" spans="1:11" ht="15.75" customHeight="1">
      <c r="A8" s="44"/>
      <c r="B8" s="44"/>
      <c r="C8" s="44"/>
      <c r="K8" s="48"/>
    </row>
    <row r="9" spans="1:11" ht="15.75" customHeight="1">
      <c r="A9" s="44"/>
      <c r="B9" s="44"/>
      <c r="C9" s="44"/>
    </row>
    <row r="10" spans="1:11" ht="15.75" customHeight="1">
      <c r="A10" s="44"/>
      <c r="B10" s="44"/>
    </row>
    <row r="11" spans="1:11" ht="15.75" customHeight="1">
      <c r="A11" s="44"/>
      <c r="B11" s="44"/>
      <c r="C11" s="44"/>
    </row>
    <row r="12" spans="1:11" ht="15.75" customHeight="1">
      <c r="A12" s="44"/>
      <c r="B12" s="44"/>
      <c r="C12" s="44"/>
    </row>
    <row r="13" spans="1:11" ht="15.75" customHeight="1">
      <c r="A13" s="44"/>
      <c r="B13" s="44"/>
      <c r="C13" s="44"/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CD6BF-E235-4960-9EBE-91E90729326D}">
  <dimension ref="A1:I13"/>
  <sheetViews>
    <sheetView showGridLines="0" workbookViewId="0">
      <selection activeCell="E2" sqref="E2"/>
    </sheetView>
  </sheetViews>
  <sheetFormatPr defaultColWidth="12.5703125" defaultRowHeight="15.75" customHeight="1"/>
  <cols>
    <col min="1" max="1" width="34" customWidth="1"/>
    <col min="2" max="3" width="29" bestFit="1" customWidth="1"/>
    <col min="5" max="6" width="27.7109375" bestFit="1" customWidth="1"/>
  </cols>
  <sheetData>
    <row r="1" spans="1:9" ht="15.75" customHeight="1">
      <c r="A1" s="45" t="s">
        <v>0</v>
      </c>
      <c r="B1" s="46" t="s">
        <v>244</v>
      </c>
      <c r="C1" s="46" t="s">
        <v>245</v>
      </c>
      <c r="E1" t="str" cm="1">
        <f t="array" ref="E1:F5">_xlfn.LET(
_xlpm.data,A2:A5,
_xlpm.map_1, _xlfn.MAP(_xlpm.data, _xlfn.LAMBDA(_xlpm.r, _xlfn.TEXTJOIN(" ", 1, _xlfn._xlws.SORT(_xlfn.TEXTSPLIT(_xlpm.r, " "),,1,1)))),
_xlpm.map_2, _xlfn.MAP(_xlpm.data, _xlfn.LAMBDA(_xlpm.r, _xlfn.TEXTJOIN(" ", 1, _xlfn._xlws.SORT(_xlfn.TEXTSPLIT(_xlpm.r, " "),,-1,1)))),
_xlpm.res, _xlfn.VSTACK({"Sorted (A→Z)","Sorted (Z→A)"}, _xlfn.HSTACK(_xlpm.map_1, _xlpm.map_2)),
_xlpm.res)</f>
        <v>Sorted (A→Z)</v>
      </c>
      <c r="F1" t="str">
        <v>Sorted (Z→A)</v>
      </c>
      <c r="H1" t="b" cm="1">
        <f t="array" ref="H1:I5">_xlfn.ANCHORARRAY(E1)=B1:C5</f>
        <v>1</v>
      </c>
      <c r="I1" t="b">
        <v>1</v>
      </c>
    </row>
    <row r="2" spans="1:9" ht="15.75" customHeight="1">
      <c r="A2" s="47" t="s">
        <v>2</v>
      </c>
      <c r="B2" s="47" t="s">
        <v>246</v>
      </c>
      <c r="C2" s="47" t="s">
        <v>247</v>
      </c>
      <c r="E2" t="str">
        <v>Excel fun learning makes</v>
      </c>
      <c r="F2" t="str">
        <v>makes learning fun Excel</v>
      </c>
      <c r="H2" t="b">
        <v>1</v>
      </c>
      <c r="I2" t="b">
        <v>1</v>
      </c>
    </row>
    <row r="3" spans="1:9" ht="15.75" customHeight="1">
      <c r="A3" s="47" t="s">
        <v>3</v>
      </c>
      <c r="B3" s="47" t="s">
        <v>248</v>
      </c>
      <c r="C3" s="47" t="s">
        <v>249</v>
      </c>
      <c r="E3" t="str">
        <v>amazing is Power Query</v>
      </c>
      <c r="F3" t="str">
        <v>Query Power is amazing</v>
      </c>
      <c r="H3" t="b">
        <v>1</v>
      </c>
      <c r="I3" t="b">
        <v>1</v>
      </c>
    </row>
    <row r="4" spans="1:9" ht="15.75" customHeight="1">
      <c r="A4" s="47" t="s">
        <v>250</v>
      </c>
      <c r="B4" s="47" t="s">
        <v>251</v>
      </c>
      <c r="C4" s="47" t="s">
        <v>252</v>
      </c>
      <c r="E4" t="str">
        <v>analysis Data is powerful</v>
      </c>
      <c r="F4" t="str">
        <v>powerful is Data analysis</v>
      </c>
      <c r="H4" t="b">
        <v>1</v>
      </c>
      <c r="I4" t="b">
        <v>1</v>
      </c>
    </row>
    <row r="5" spans="1:9" ht="15.75" customHeight="1">
      <c r="A5" s="47" t="s">
        <v>253</v>
      </c>
      <c r="B5" s="47" t="s">
        <v>254</v>
      </c>
      <c r="C5" s="47" t="s">
        <v>255</v>
      </c>
      <c r="E5" t="str">
        <v>complex Excel problems solves</v>
      </c>
      <c r="F5" t="str">
        <v>solves problems Excel complex</v>
      </c>
      <c r="H5" t="b">
        <v>1</v>
      </c>
      <c r="I5" t="b">
        <v>1</v>
      </c>
    </row>
    <row r="6" spans="1:9" ht="15.75" customHeight="1">
      <c r="A6" s="44"/>
      <c r="B6" s="44"/>
      <c r="C6" s="44"/>
    </row>
    <row r="7" spans="1:9" ht="15.75" customHeight="1">
      <c r="A7" s="44"/>
      <c r="B7" s="44"/>
      <c r="C7" s="44"/>
    </row>
    <row r="8" spans="1:9" ht="15.75" customHeight="1">
      <c r="A8" s="44"/>
      <c r="B8" s="44"/>
      <c r="C8" s="44"/>
    </row>
    <row r="9" spans="1:9" ht="15.75" customHeight="1">
      <c r="A9" s="44"/>
      <c r="B9" s="44"/>
      <c r="C9" s="44"/>
    </row>
    <row r="10" spans="1:9" ht="15.75" customHeight="1">
      <c r="A10" s="44"/>
      <c r="B10" s="44"/>
      <c r="C10" s="44"/>
    </row>
    <row r="11" spans="1:9" ht="15.75" customHeight="1">
      <c r="A11" s="44"/>
      <c r="B11" s="44"/>
      <c r="C11" s="44"/>
    </row>
    <row r="12" spans="1:9" ht="15.75" customHeight="1">
      <c r="A12" s="44"/>
      <c r="B12" s="44"/>
      <c r="C12" s="44"/>
    </row>
    <row r="13" spans="1:9" ht="15.75" customHeight="1">
      <c r="A13" s="44"/>
      <c r="B13" s="44"/>
      <c r="C13" s="44"/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"/>
  <sheetViews>
    <sheetView workbookViewId="0">
      <selection activeCell="D30" sqref="A1:XFD1048576"/>
    </sheetView>
  </sheetViews>
  <sheetFormatPr defaultColWidth="12.5703125" defaultRowHeight="15.75" customHeight="1"/>
  <cols>
    <col min="1" max="1" width="34" customWidth="1"/>
  </cols>
  <sheetData>
    <row r="1" spans="1:9" ht="15.75" customHeight="1">
      <c r="A1" s="1" t="s">
        <v>0</v>
      </c>
      <c r="B1" s="2" t="s">
        <v>1</v>
      </c>
      <c r="C1" s="2" t="s">
        <v>243</v>
      </c>
      <c r="E1" t="str" cm="1">
        <f t="array" ref="E1:F5">_xlfn.LET(
_xlpm._data_, A2:A5,
_xlpm._clean_, LOWER(SUBSTITUTE(_xlpm._data_, " ", "")),
_xlpm._vowels_, {"a","e","i","o","u"},
_xlpm._lens_, LEN(_xlpm._clean_),
_xlpm._mapVowels_, _xlfn.MAP(_xlpm._clean_, _xlfn.LAMBDA(_xlpm.r, _xlfn.LET(_xlpm.len, LEN(_xlpm.r), _xlpm.seq, _xlfn.SEQUENCE(_xlpm.len), _xlpm.t, MID(_xlpm.r, _xlpm.seq, 1), _xlpm.count, SUM(_xlfn.MAP(_xlpm.t, _xlfn.LAMBDA(_xlpm.s, SUM(--(_xlpm.s = _xlpm._vowels_))))), _xlpm.count))),
_xlpm._mapConsonants_, _xlpm._lens_ - _xlpm._mapVowels_,
_xlpm._res_, _xlfn.VSTACK({"Vowels","Consonants"}, _xlfn.HSTACK(_xlpm._mapVowels_, _xlpm._mapConsonants_)),
_xlpm._res_)</f>
        <v>Vowels</v>
      </c>
      <c r="F1" t="str">
        <v>Consonants</v>
      </c>
      <c r="H1" t="b" cm="1">
        <f t="array" ref="H1:I5">_xlfn.ANCHORARRAY(E1)=B1:C5</f>
        <v>1</v>
      </c>
      <c r="I1" t="b">
        <v>1</v>
      </c>
    </row>
    <row r="2" spans="1:9" ht="15.75" customHeight="1">
      <c r="A2" s="3" t="s">
        <v>2</v>
      </c>
      <c r="B2" s="4">
        <v>8</v>
      </c>
      <c r="C2" s="4">
        <v>13</v>
      </c>
      <c r="E2">
        <v>8</v>
      </c>
      <c r="F2">
        <v>13</v>
      </c>
      <c r="H2" t="b">
        <v>1</v>
      </c>
      <c r="I2" t="b">
        <v>1</v>
      </c>
    </row>
    <row r="3" spans="1:9" ht="15.75" customHeight="1">
      <c r="A3" s="3" t="s">
        <v>3</v>
      </c>
      <c r="B3" s="4">
        <v>8</v>
      </c>
      <c r="C3" s="4">
        <v>11</v>
      </c>
      <c r="E3">
        <v>8</v>
      </c>
      <c r="F3">
        <v>11</v>
      </c>
      <c r="H3" t="b">
        <v>1</v>
      </c>
      <c r="I3" t="b">
        <v>1</v>
      </c>
    </row>
    <row r="4" spans="1:9" ht="15.75" customHeight="1">
      <c r="A4" s="3" t="s">
        <v>4</v>
      </c>
      <c r="B4" s="4">
        <v>6</v>
      </c>
      <c r="C4" s="4">
        <v>8</v>
      </c>
      <c r="E4">
        <v>6</v>
      </c>
      <c r="F4">
        <v>8</v>
      </c>
      <c r="H4" t="b">
        <v>1</v>
      </c>
      <c r="I4" t="b">
        <v>1</v>
      </c>
    </row>
    <row r="5" spans="1:9" ht="15.75" customHeight="1">
      <c r="A5" s="3" t="s">
        <v>5</v>
      </c>
      <c r="B5" s="4">
        <v>11</v>
      </c>
      <c r="C5" s="4">
        <v>24</v>
      </c>
      <c r="E5">
        <v>11</v>
      </c>
      <c r="F5">
        <v>24</v>
      </c>
      <c r="H5" t="b">
        <v>1</v>
      </c>
      <c r="I5" t="b">
        <v>1</v>
      </c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4"/>
  <sheetViews>
    <sheetView workbookViewId="0">
      <selection activeCell="F6" sqref="F6"/>
    </sheetView>
  </sheetViews>
  <sheetFormatPr defaultColWidth="12.5703125" defaultRowHeight="15.75" customHeight="1"/>
  <cols>
    <col min="1" max="1" width="25.140625" bestFit="1" customWidth="1"/>
    <col min="2" max="2" width="21" customWidth="1"/>
  </cols>
  <sheetData>
    <row r="1" spans="1:6" ht="15.75" customHeight="1">
      <c r="A1" s="1" t="s">
        <v>0</v>
      </c>
      <c r="B1" s="5" t="s">
        <v>6</v>
      </c>
    </row>
    <row r="2" spans="1:6" ht="15.75" customHeight="1">
      <c r="A2" s="3" t="s">
        <v>2</v>
      </c>
      <c r="B2" s="3" t="s">
        <v>7</v>
      </c>
      <c r="D2" t="str" cm="1">
        <f t="array" ref="D2:D5">_xlfn.BYROW(A2:A5, _xlfn.LAMBDA(_xlpm.r, _xlfn.LET(_xlpm.t, _xlfn.TEXTSPLIT(_xlpm.r,, " "), _xlpm.len, COUNTA(_xlpm.t), _xlpm.seq, _xlfn.SEQUENCE(_xlpm.len), _xlpm.c, _xlfn.HSTACK(_xlpm.seq, _xlpm.t), _xlpm.s, _xlfn._xlws.SORT(_xlpm.c, 1,-1), _xlpm.res, _xlfn.TEXTJOIN(" ", 1, _xlfn.CHOOSECOLS(_xlpm.s, 2)), _xlpm.res)))</f>
        <v>fun learning makes Excel</v>
      </c>
      <c r="F2" t="b" cm="1">
        <f t="array" ref="F2:F5">_xlfn.ANCHORARRAY(D2)=B2:B5</f>
        <v>1</v>
      </c>
    </row>
    <row r="3" spans="1:6" ht="15.75" customHeight="1">
      <c r="A3" s="3" t="s">
        <v>3</v>
      </c>
      <c r="B3" s="3" t="s">
        <v>8</v>
      </c>
      <c r="D3" t="str">
        <v>amazing is Query Power</v>
      </c>
      <c r="F3" t="b">
        <v>1</v>
      </c>
    </row>
    <row r="4" spans="1:6" ht="15.75" customHeight="1">
      <c r="A4" s="3" t="s">
        <v>9</v>
      </c>
      <c r="B4" s="3" t="s">
        <v>10</v>
      </c>
      <c r="D4" t="str">
        <v>important is cleaning Data</v>
      </c>
      <c r="F4" t="b">
        <v>1</v>
      </c>
    </row>
    <row r="5" spans="1:6" ht="15.75" customHeight="1">
      <c r="A5" s="3" t="s">
        <v>11</v>
      </c>
      <c r="B5" s="3" t="s">
        <v>12</v>
      </c>
      <c r="D5" t="str">
        <v>perfect you makes Practice</v>
      </c>
      <c r="F5" t="b">
        <v>1</v>
      </c>
    </row>
    <row r="6" spans="1:6" ht="15.75" customHeight="1">
      <c r="A6" s="3"/>
      <c r="B6" s="3"/>
    </row>
    <row r="7" spans="1:6" ht="15.75" customHeight="1">
      <c r="A7" s="3"/>
      <c r="B7" s="3"/>
    </row>
    <row r="8" spans="1:6" ht="15.75" customHeight="1">
      <c r="A8" s="3"/>
      <c r="B8" s="3"/>
    </row>
    <row r="9" spans="1:6" ht="15.75" customHeight="1">
      <c r="A9" s="6"/>
      <c r="B9" s="3"/>
    </row>
    <row r="10" spans="1:6" ht="15.75" customHeight="1">
      <c r="A10" s="3"/>
      <c r="B10" s="3"/>
    </row>
    <row r="11" spans="1:6" ht="15.75" customHeight="1">
      <c r="A11" s="3"/>
      <c r="B11" s="3"/>
    </row>
    <row r="12" spans="1:6" ht="15.75" customHeight="1">
      <c r="A12" s="3"/>
      <c r="B12" s="3"/>
    </row>
    <row r="13" spans="1:6" ht="15.75" customHeight="1">
      <c r="A13" s="3"/>
      <c r="B13" s="3"/>
    </row>
    <row r="14" spans="1:6" ht="15.75" customHeight="1">
      <c r="A14" s="3"/>
      <c r="B14" s="3"/>
    </row>
  </sheetData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9"/>
  <sheetViews>
    <sheetView workbookViewId="0">
      <selection activeCell="D3" sqref="D3"/>
    </sheetView>
  </sheetViews>
  <sheetFormatPr defaultColWidth="12.5703125" defaultRowHeight="15.75" customHeight="1"/>
  <cols>
    <col min="1" max="1" width="34" customWidth="1"/>
    <col min="2" max="2" width="16.42578125" customWidth="1"/>
    <col min="4" max="4" width="20.140625" customWidth="1"/>
  </cols>
  <sheetData>
    <row r="1" spans="1:6" ht="15.75" customHeight="1">
      <c r="A1" s="1" t="s">
        <v>0</v>
      </c>
      <c r="B1" s="5" t="s">
        <v>6</v>
      </c>
    </row>
    <row r="2" spans="1:6" ht="15.75" customHeight="1">
      <c r="A2" s="3" t="s">
        <v>5</v>
      </c>
      <c r="B2" s="3" t="s">
        <v>13</v>
      </c>
      <c r="D2" t="str" cm="1">
        <f t="array" ref="D2:D9">_xlfn.LET(
_xlpm.letters, CHAR(_xlfn.SEQUENCE(26,1,97)),
_xlpm.data, LOWER(A2:A9),
_xlpm.cleanData, _xlfn.MAP(_xlpm.data, _xlfn.LAMBDA(_xlpm.r, _xlfn.CONCAT(_xlfn.REGEXEXTRACT(_xlpm.r, "[a-z]",1)))),
_xlpm.check, _xlfn.MAP(_xlpm.cleanData, _xlfn.LAMBDA(_xlpm.r, _xlfn.LET(_xlpm.len, LEN(_xlpm.r), _xlpm.seq, _xlfn.SEQUENCE(_xlpm.len), _xlpm.split, MID(_xlpm.r, _xlpm.seq, 1), _xlpm.map, _xlfn.MAP(_xlpm.letters, _xlfn.LAMBDA(_xlpm.l, SUM(--(_xlpm.l = _xlpm.split)) = 0)), _xlpm.cnt, SUM(--_xlpm.map), _xlpm.res, IF(_xlpm.cnt, _xlfn.CONCAT(_xlfn._xlws.FILTER(_xlpm.letters, _xlpm.map)), "it’s a pangram"), _xlpm.res))),
_xlpm.check)</f>
        <v>it’s a pangram</v>
      </c>
      <c r="F2" t="b" cm="1">
        <f t="array" ref="F2:F9">_xlfn.ANCHORARRAY(D2)=B2:B9</f>
        <v>1</v>
      </c>
    </row>
    <row r="3" spans="1:6" ht="15.75" customHeight="1">
      <c r="A3" s="3" t="s">
        <v>14</v>
      </c>
      <c r="B3" s="3" t="s">
        <v>13</v>
      </c>
      <c r="D3" t="str">
        <v>it’s a pangram</v>
      </c>
      <c r="F3" t="b">
        <v>1</v>
      </c>
    </row>
    <row r="4" spans="1:6" ht="15.75" customHeight="1">
      <c r="A4" s="3" t="s">
        <v>15</v>
      </c>
      <c r="B4" s="3" t="s">
        <v>13</v>
      </c>
      <c r="D4" t="str">
        <v>it’s a pangram</v>
      </c>
      <c r="F4" t="b">
        <v>1</v>
      </c>
    </row>
    <row r="5" spans="1:6" ht="15.75" customHeight="1">
      <c r="A5" s="3" t="s">
        <v>16</v>
      </c>
      <c r="B5" s="3" t="s">
        <v>17</v>
      </c>
      <c r="D5" t="str">
        <v>bdghjnopqrtuvwz</v>
      </c>
      <c r="F5" t="b">
        <v>1</v>
      </c>
    </row>
    <row r="6" spans="1:6" ht="15.75" customHeight="1">
      <c r="A6" s="3" t="s">
        <v>4</v>
      </c>
      <c r="B6" s="3" t="s">
        <v>18</v>
      </c>
      <c r="D6" t="str">
        <v>bcghjkmnqvxyz</v>
      </c>
      <c r="F6" t="b">
        <v>1</v>
      </c>
    </row>
    <row r="7" spans="1:6" ht="15.75" customHeight="1">
      <c r="A7" s="3" t="s">
        <v>19</v>
      </c>
      <c r="B7" s="3" t="s">
        <v>20</v>
      </c>
      <c r="D7" t="str">
        <v>cfghjkqrtvwxyz</v>
      </c>
      <c r="F7" t="b">
        <v>1</v>
      </c>
    </row>
    <row r="8" spans="1:6" ht="15.75" customHeight="1">
      <c r="A8" s="3" t="s">
        <v>21</v>
      </c>
      <c r="B8" s="3" t="s">
        <v>22</v>
      </c>
      <c r="D8" t="str">
        <v>abcfgijkmnpqstuvxyz</v>
      </c>
      <c r="F8" t="b">
        <v>1</v>
      </c>
    </row>
    <row r="9" spans="1:6" ht="15.75" customHeight="1">
      <c r="A9" s="3" t="s">
        <v>23</v>
      </c>
      <c r="B9" s="3" t="s">
        <v>24</v>
      </c>
      <c r="D9" t="str">
        <v>bdfhjmoqsuvwyz</v>
      </c>
      <c r="F9" t="b">
        <v>1</v>
      </c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7"/>
  <sheetViews>
    <sheetView workbookViewId="0">
      <selection activeCell="D3" sqref="D3"/>
    </sheetView>
  </sheetViews>
  <sheetFormatPr defaultColWidth="12.5703125" defaultRowHeight="15.75" customHeight="1"/>
  <cols>
    <col min="1" max="1" width="34" customWidth="1"/>
  </cols>
  <sheetData>
    <row r="1" spans="1:4" ht="15.75" customHeight="1">
      <c r="A1" s="1" t="s">
        <v>0</v>
      </c>
      <c r="B1" s="5" t="s">
        <v>6</v>
      </c>
    </row>
    <row r="2" spans="1:4" ht="15.75" customHeight="1">
      <c r="A2" s="3" t="s">
        <v>5</v>
      </c>
      <c r="B2" s="7" t="b">
        <v>1</v>
      </c>
      <c r="D2" t="b" cm="1">
        <f t="array" ref="D2:D7">_xlfn.LET(
_xlpm.letters, CHAR(_xlfn.SEQUENCE(26,1,97)),
_xlpm.data, LOWER(A2:A7),
_xlpm.cleanData, _xlfn.MAP(_xlpm.data, _xlfn.LAMBDA(_xlpm.r, _xlfn.CONCAT(_xlfn.REGEXEXTRACT(_xlpm.r, "[a-z]",1)))),
_xlpm.check, _xlfn.MAP(_xlpm.cleanData, _xlfn.LAMBDA(_xlpm.r, _xlfn.LET(_xlpm.len, LEN(_xlpm.r), _xlpm.seq, _xlfn.SEQUENCE(_xlpm.len), _xlpm.split, MID(_xlpm.r, _xlpm.seq, 1), _xlpm.map, _xlfn.MAP(_xlpm.letters, _xlfn.LAMBDA(_xlpm.l, SUM(--(_xlpm.l = _xlpm.split)) &gt; 0)), _xlpm.cnt, SUM(--_xlpm.map) = 26, _xlpm.cnt))),
_xlpm.check)</f>
        <v>1</v>
      </c>
    </row>
    <row r="3" spans="1:4" ht="15.75" customHeight="1">
      <c r="A3" s="3" t="s">
        <v>14</v>
      </c>
      <c r="B3" s="7" t="b">
        <v>1</v>
      </c>
      <c r="D3" t="b">
        <v>1</v>
      </c>
    </row>
    <row r="4" spans="1:4" ht="15.75" customHeight="1">
      <c r="A4" s="3" t="s">
        <v>15</v>
      </c>
      <c r="B4" s="7" t="b">
        <v>1</v>
      </c>
      <c r="D4" t="b">
        <v>1</v>
      </c>
    </row>
    <row r="5" spans="1:4" ht="15.75" customHeight="1">
      <c r="A5" s="3" t="s">
        <v>16</v>
      </c>
      <c r="B5" s="7" t="b">
        <v>0</v>
      </c>
      <c r="D5" t="b">
        <v>0</v>
      </c>
    </row>
    <row r="6" spans="1:4" ht="15.75" customHeight="1">
      <c r="A6" s="3" t="s">
        <v>4</v>
      </c>
      <c r="B6" s="7" t="b">
        <v>0</v>
      </c>
      <c r="D6" t="b">
        <v>0</v>
      </c>
    </row>
    <row r="7" spans="1:4" ht="15.75" customHeight="1">
      <c r="A7" s="3" t="s">
        <v>19</v>
      </c>
      <c r="B7" s="7" t="b">
        <v>0</v>
      </c>
      <c r="D7" t="b">
        <v>0</v>
      </c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8"/>
  <sheetViews>
    <sheetView workbookViewId="0">
      <selection activeCell="E3" sqref="E3"/>
    </sheetView>
  </sheetViews>
  <sheetFormatPr defaultColWidth="12.5703125" defaultRowHeight="15.75" customHeight="1"/>
  <sheetData>
    <row r="1" spans="1:5" ht="15.75" customHeight="1">
      <c r="A1" s="1" t="s">
        <v>25</v>
      </c>
      <c r="B1" s="1" t="s">
        <v>26</v>
      </c>
      <c r="C1" s="5" t="s">
        <v>27</v>
      </c>
    </row>
    <row r="2" spans="1:5" ht="15.75" customHeight="1">
      <c r="A2" s="3" t="s">
        <v>28</v>
      </c>
      <c r="B2" s="3" t="s">
        <v>29</v>
      </c>
      <c r="C2" s="7" t="b">
        <v>1</v>
      </c>
      <c r="E2" t="b" cm="1">
        <f t="array" ref="E2:E8">_xlfn.LET(
_xlpm.first, A2:A8,
_xlpm.second, B2:B8,
_xlpm.firstSort, _xlfn.MAP(_xlpm.first, _xlfn.LAMBDA(_xlpm.r, _xlfn.CONCAT(_xlfn._xlws.SORT(MID(_xlpm.r, _xlfn.SEQUENCE(LEN(_xlpm.r)),1))))),
_xlpm.secondSort, _xlfn.MAP(_xlpm.second, _xlfn.LAMBDA(_xlpm.r, _xlfn.CONCAT(_xlfn._xlws.SORT(MID(_xlpm.r, _xlfn.SEQUENCE(LEN(_xlpm.r)),1))))),
_xlpm.res, _xlpm.firstSort = _xlpm.secondSort,
_xlpm.res)</f>
        <v>1</v>
      </c>
    </row>
    <row r="3" spans="1:5" ht="15.75" customHeight="1">
      <c r="A3" s="3" t="s">
        <v>30</v>
      </c>
      <c r="B3" s="3" t="s">
        <v>31</v>
      </c>
      <c r="C3" s="7" t="b">
        <v>0</v>
      </c>
      <c r="E3" t="b">
        <v>0</v>
      </c>
    </row>
    <row r="4" spans="1:5" ht="15.75" customHeight="1">
      <c r="A4" s="3" t="s">
        <v>32</v>
      </c>
      <c r="B4" s="3" t="s">
        <v>33</v>
      </c>
      <c r="C4" s="7" t="b">
        <v>0</v>
      </c>
      <c r="E4" t="b">
        <v>0</v>
      </c>
    </row>
    <row r="5" spans="1:5" ht="15.75" customHeight="1">
      <c r="A5" s="3" t="s">
        <v>34</v>
      </c>
      <c r="B5" s="3" t="s">
        <v>35</v>
      </c>
      <c r="C5" s="7" t="b">
        <v>1</v>
      </c>
      <c r="E5" t="b">
        <v>1</v>
      </c>
    </row>
    <row r="6" spans="1:5" ht="15.75" customHeight="1">
      <c r="A6" s="3" t="s">
        <v>36</v>
      </c>
      <c r="B6" s="3" t="s">
        <v>37</v>
      </c>
      <c r="C6" s="7" t="b">
        <v>1</v>
      </c>
      <c r="E6" t="b">
        <v>1</v>
      </c>
    </row>
    <row r="7" spans="1:5" ht="15.75" customHeight="1">
      <c r="A7" s="3" t="s">
        <v>38</v>
      </c>
      <c r="B7" s="3" t="s">
        <v>39</v>
      </c>
      <c r="C7" s="7" t="b">
        <v>1</v>
      </c>
      <c r="E7" t="b">
        <v>1</v>
      </c>
    </row>
    <row r="8" spans="1:5" ht="15.75" customHeight="1">
      <c r="A8" s="3" t="s">
        <v>40</v>
      </c>
      <c r="B8" s="3" t="s">
        <v>41</v>
      </c>
      <c r="C8" s="7" t="b">
        <v>0</v>
      </c>
      <c r="E8" t="b">
        <v>0</v>
      </c>
    </row>
  </sheetData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4"/>
  <sheetViews>
    <sheetView workbookViewId="0"/>
  </sheetViews>
  <sheetFormatPr defaultColWidth="12.5703125" defaultRowHeight="15.75" customHeight="1"/>
  <sheetData>
    <row r="1" spans="1:6" ht="15.75" customHeight="1">
      <c r="A1" s="1" t="s">
        <v>42</v>
      </c>
      <c r="B1" s="8" t="s">
        <v>43</v>
      </c>
      <c r="C1" s="3"/>
      <c r="D1" s="1" t="s">
        <v>44</v>
      </c>
      <c r="E1" s="1" t="s">
        <v>45</v>
      </c>
      <c r="F1" s="3"/>
    </row>
    <row r="2" spans="1:6" ht="15.75" customHeight="1">
      <c r="A2" s="9">
        <v>45658</v>
      </c>
      <c r="B2" s="9">
        <v>45659</v>
      </c>
      <c r="C2" s="3"/>
      <c r="D2" s="9">
        <v>45658</v>
      </c>
      <c r="E2" s="3" t="s">
        <v>46</v>
      </c>
      <c r="F2" s="3"/>
    </row>
    <row r="3" spans="1:6" ht="15.75" customHeight="1">
      <c r="A3" s="9">
        <v>45663</v>
      </c>
      <c r="B3" s="9">
        <v>45664</v>
      </c>
      <c r="C3" s="3"/>
      <c r="D3" s="10">
        <v>45702</v>
      </c>
      <c r="E3" s="3" t="s">
        <v>47</v>
      </c>
      <c r="F3" s="3"/>
    </row>
    <row r="4" spans="1:6" ht="15.75" customHeight="1">
      <c r="A4" s="9">
        <v>45664</v>
      </c>
      <c r="B4" s="9">
        <v>45665</v>
      </c>
      <c r="C4" s="3"/>
      <c r="D4" s="11">
        <v>45778</v>
      </c>
      <c r="E4" s="3" t="s">
        <v>48</v>
      </c>
      <c r="F4" s="3"/>
    </row>
    <row r="5" spans="1:6" ht="15.75" customHeight="1">
      <c r="A5" s="10">
        <v>45701</v>
      </c>
      <c r="B5" s="10">
        <v>45705</v>
      </c>
      <c r="C5" s="3"/>
      <c r="D5" s="10">
        <v>45950</v>
      </c>
      <c r="E5" s="3" t="s">
        <v>49</v>
      </c>
      <c r="F5" s="3"/>
    </row>
    <row r="6" spans="1:6" ht="15.75" customHeight="1">
      <c r="A6" s="11">
        <v>45778</v>
      </c>
      <c r="B6" s="11">
        <v>45779</v>
      </c>
      <c r="C6" s="3"/>
      <c r="D6" s="10">
        <v>46016</v>
      </c>
      <c r="E6" s="3" t="s">
        <v>50</v>
      </c>
      <c r="F6" s="3"/>
    </row>
    <row r="7" spans="1:6" ht="15.75" customHeight="1">
      <c r="A7" s="3"/>
      <c r="B7" s="3"/>
      <c r="C7" s="3"/>
      <c r="D7" s="10">
        <v>46022</v>
      </c>
      <c r="E7" s="3" t="s">
        <v>51</v>
      </c>
      <c r="F7" s="3"/>
    </row>
    <row r="8" spans="1:6" ht="15.75" customHeight="1">
      <c r="A8" s="3"/>
      <c r="B8" s="3"/>
      <c r="C8" s="3"/>
      <c r="D8" s="3"/>
      <c r="E8" s="3"/>
      <c r="F8" s="3"/>
    </row>
    <row r="9" spans="1:6" ht="15.75" customHeight="1">
      <c r="A9" s="3"/>
      <c r="B9" s="3"/>
      <c r="C9" s="3"/>
      <c r="D9" s="3"/>
      <c r="E9" s="3"/>
      <c r="F9" s="3"/>
    </row>
    <row r="10" spans="1:6" ht="15.75" customHeight="1">
      <c r="A10" s="6"/>
      <c r="B10" s="3"/>
      <c r="C10" s="3"/>
      <c r="D10" s="3"/>
      <c r="E10" s="3"/>
      <c r="F10" s="3"/>
    </row>
    <row r="11" spans="1:6" ht="15.75" customHeight="1">
      <c r="A11" s="3"/>
      <c r="B11" s="3"/>
      <c r="C11" s="3"/>
      <c r="D11" s="3"/>
      <c r="E11" s="3"/>
      <c r="F11" s="3"/>
    </row>
    <row r="12" spans="1:6" ht="15.75" customHeight="1">
      <c r="A12" s="3"/>
      <c r="B12" s="3"/>
      <c r="C12" s="3"/>
      <c r="D12" s="3"/>
      <c r="E12" s="3"/>
      <c r="F12" s="3"/>
    </row>
    <row r="13" spans="1:6" ht="15.75" customHeight="1">
      <c r="A13" s="3"/>
      <c r="B13" s="3"/>
      <c r="C13" s="3"/>
      <c r="D13" s="3"/>
      <c r="E13" s="3"/>
      <c r="F13" s="3"/>
    </row>
    <row r="14" spans="1:6" ht="15.75" customHeight="1">
      <c r="A14" s="3"/>
      <c r="B14" s="3"/>
      <c r="C14" s="3"/>
      <c r="D14" s="3"/>
      <c r="E14" s="3"/>
      <c r="F14" s="3"/>
    </row>
  </sheetData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13"/>
  <sheetViews>
    <sheetView workbookViewId="0"/>
  </sheetViews>
  <sheetFormatPr defaultColWidth="12.5703125" defaultRowHeight="15.75" customHeight="1"/>
  <sheetData>
    <row r="1" spans="1:7" ht="15.75" customHeight="1">
      <c r="A1" s="1" t="s">
        <v>52</v>
      </c>
      <c r="B1" s="1" t="s">
        <v>53</v>
      </c>
      <c r="C1" s="3"/>
      <c r="D1" s="2" t="s">
        <v>54</v>
      </c>
      <c r="E1" s="2" t="s">
        <v>55</v>
      </c>
      <c r="F1" s="3"/>
      <c r="G1" s="3"/>
    </row>
    <row r="2" spans="1:7" ht="15.75" customHeight="1">
      <c r="A2" s="4">
        <v>1</v>
      </c>
      <c r="B2" s="4">
        <v>100</v>
      </c>
      <c r="C2" s="3"/>
      <c r="D2" s="4">
        <v>2</v>
      </c>
      <c r="E2" s="3" t="s">
        <v>56</v>
      </c>
      <c r="F2" s="3"/>
      <c r="G2" s="3"/>
    </row>
    <row r="3" spans="1:7" ht="15.75" customHeight="1">
      <c r="A3" s="4">
        <v>2</v>
      </c>
      <c r="B3" s="4">
        <v>120</v>
      </c>
      <c r="C3" s="3"/>
      <c r="D3" s="3"/>
      <c r="E3" s="3"/>
      <c r="F3" s="3"/>
      <c r="G3" s="3"/>
    </row>
    <row r="4" spans="1:7" ht="15.75" customHeight="1">
      <c r="A4" s="4">
        <v>3</v>
      </c>
      <c r="B4" s="4">
        <v>0</v>
      </c>
      <c r="C4" s="3"/>
      <c r="D4" s="3"/>
      <c r="E4" s="3"/>
      <c r="F4" s="3"/>
      <c r="G4" s="3"/>
    </row>
    <row r="5" spans="1:7" ht="15.75" customHeight="1">
      <c r="A5" s="4">
        <v>4</v>
      </c>
      <c r="B5" s="4">
        <v>150</v>
      </c>
      <c r="C5" s="3"/>
      <c r="D5" s="3"/>
      <c r="E5" s="3"/>
      <c r="F5" s="3"/>
      <c r="G5" s="3"/>
    </row>
    <row r="6" spans="1:7" ht="15.75" customHeight="1">
      <c r="A6" s="4">
        <v>5</v>
      </c>
      <c r="B6" s="4">
        <v>0</v>
      </c>
      <c r="C6" s="3"/>
      <c r="D6" s="3"/>
      <c r="E6" s="3"/>
      <c r="F6" s="3"/>
      <c r="G6" s="3"/>
    </row>
    <row r="7" spans="1:7" ht="15.75" customHeight="1">
      <c r="A7" s="4">
        <v>6</v>
      </c>
      <c r="B7" s="4">
        <v>100</v>
      </c>
      <c r="C7" s="3"/>
      <c r="D7" s="3"/>
      <c r="E7" s="3"/>
      <c r="F7" s="3"/>
      <c r="G7" s="3"/>
    </row>
    <row r="8" spans="1:7" ht="15.75" customHeight="1">
      <c r="A8" s="4">
        <v>7</v>
      </c>
      <c r="B8" s="4">
        <v>50</v>
      </c>
      <c r="C8" s="3"/>
      <c r="D8" s="3"/>
      <c r="E8" s="3"/>
      <c r="F8" s="3"/>
      <c r="G8" s="3"/>
    </row>
    <row r="9" spans="1:7" ht="15.75" customHeight="1">
      <c r="A9" s="6"/>
      <c r="B9" s="3"/>
      <c r="C9" s="3"/>
      <c r="D9" s="3"/>
      <c r="E9" s="3"/>
      <c r="F9" s="3"/>
      <c r="G9" s="3"/>
    </row>
    <row r="10" spans="1:7" ht="15.75" customHeight="1">
      <c r="A10" s="3"/>
      <c r="B10" s="3"/>
      <c r="C10" s="3"/>
      <c r="D10" s="3"/>
      <c r="E10" s="3"/>
      <c r="F10" s="3"/>
      <c r="G10" s="3"/>
    </row>
    <row r="11" spans="1:7" ht="15.75" customHeight="1">
      <c r="A11" s="3"/>
      <c r="B11" s="3"/>
      <c r="C11" s="3"/>
      <c r="D11" s="3"/>
      <c r="E11" s="3"/>
      <c r="F11" s="3"/>
      <c r="G11" s="3"/>
    </row>
    <row r="12" spans="1:7" ht="15.75" customHeight="1">
      <c r="A12" s="3"/>
      <c r="B12" s="3"/>
      <c r="C12" s="3"/>
      <c r="D12" s="3"/>
      <c r="E12" s="3"/>
      <c r="F12" s="3"/>
      <c r="G12" s="3"/>
    </row>
    <row r="13" spans="1:7" ht="15.75" customHeight="1">
      <c r="A13" s="3"/>
      <c r="B13" s="3"/>
      <c r="C13" s="3"/>
      <c r="D13" s="3"/>
      <c r="E13" s="3"/>
      <c r="F13" s="3"/>
      <c r="G13" s="3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5"/>
  <sheetViews>
    <sheetView workbookViewId="0"/>
  </sheetViews>
  <sheetFormatPr defaultColWidth="12.5703125" defaultRowHeight="15.75" customHeight="1"/>
  <cols>
    <col min="1" max="1" width="26.7109375" customWidth="1"/>
  </cols>
  <sheetData>
    <row r="1" spans="1:3" ht="15.75" customHeight="1">
      <c r="A1" s="3" t="s">
        <v>57</v>
      </c>
      <c r="B1" s="97" t="s">
        <v>27</v>
      </c>
      <c r="C1" s="98"/>
    </row>
    <row r="2" spans="1:3" ht="15.75" customHeight="1">
      <c r="A2" s="1" t="s">
        <v>0</v>
      </c>
      <c r="B2" s="1" t="s">
        <v>58</v>
      </c>
      <c r="C2" s="1" t="s">
        <v>59</v>
      </c>
    </row>
    <row r="3" spans="1:3" ht="15.75" customHeight="1">
      <c r="A3" s="3" t="s">
        <v>60</v>
      </c>
      <c r="B3" s="3" t="s">
        <v>61</v>
      </c>
      <c r="C3" s="4">
        <v>3</v>
      </c>
    </row>
    <row r="4" spans="1:3" ht="15.75" customHeight="1">
      <c r="A4" s="3" t="s">
        <v>62</v>
      </c>
      <c r="B4" s="3" t="s">
        <v>63</v>
      </c>
      <c r="C4" s="4">
        <v>2</v>
      </c>
    </row>
    <row r="5" spans="1:3" ht="15.75" customHeight="1">
      <c r="A5" s="3"/>
      <c r="B5" s="3" t="s">
        <v>64</v>
      </c>
      <c r="C5" s="4">
        <v>2</v>
      </c>
    </row>
  </sheetData>
  <mergeCells count="1">
    <mergeCell ref="B1:C1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7"/>
  <sheetViews>
    <sheetView workbookViewId="0"/>
  </sheetViews>
  <sheetFormatPr defaultColWidth="12.5703125" defaultRowHeight="15.75" customHeight="1"/>
  <cols>
    <col min="2" max="2" width="8.42578125" customWidth="1"/>
    <col min="6" max="6" width="8.42578125" customWidth="1"/>
  </cols>
  <sheetData>
    <row r="1" spans="1:7" ht="15.75" customHeight="1">
      <c r="A1" s="1" t="s">
        <v>65</v>
      </c>
      <c r="B1" s="1" t="s">
        <v>66</v>
      </c>
      <c r="C1" s="1" t="s">
        <v>67</v>
      </c>
      <c r="D1" s="3"/>
      <c r="E1" s="12" t="s">
        <v>65</v>
      </c>
      <c r="F1" s="12" t="s">
        <v>66</v>
      </c>
      <c r="G1" s="12" t="s">
        <v>68</v>
      </c>
    </row>
    <row r="2" spans="1:7" ht="15.75" customHeight="1">
      <c r="A2" s="9">
        <v>44927</v>
      </c>
      <c r="B2" s="3" t="s">
        <v>69</v>
      </c>
      <c r="C2" s="3" t="s">
        <v>70</v>
      </c>
      <c r="D2" s="3"/>
      <c r="E2" s="9">
        <v>44927</v>
      </c>
      <c r="F2" s="3" t="s">
        <v>69</v>
      </c>
      <c r="G2" s="3" t="s">
        <v>71</v>
      </c>
    </row>
    <row r="3" spans="1:7" ht="15.75" customHeight="1">
      <c r="A3" s="9">
        <v>44927</v>
      </c>
      <c r="B3" s="3" t="s">
        <v>69</v>
      </c>
      <c r="C3" s="3" t="s">
        <v>72</v>
      </c>
      <c r="D3" s="3"/>
      <c r="E3" s="9">
        <v>44927</v>
      </c>
      <c r="F3" s="3" t="s">
        <v>73</v>
      </c>
      <c r="G3" s="3" t="s">
        <v>74</v>
      </c>
    </row>
    <row r="4" spans="1:7" ht="15.75" customHeight="1">
      <c r="A4" s="9">
        <v>44927</v>
      </c>
      <c r="B4" s="3" t="s">
        <v>73</v>
      </c>
      <c r="C4" s="3" t="s">
        <v>74</v>
      </c>
      <c r="D4" s="3"/>
      <c r="E4" s="9">
        <v>44928</v>
      </c>
      <c r="F4" s="3" t="s">
        <v>69</v>
      </c>
      <c r="G4" s="3" t="s">
        <v>75</v>
      </c>
    </row>
    <row r="5" spans="1:7" ht="15.75" customHeight="1">
      <c r="A5" s="9">
        <v>44928</v>
      </c>
      <c r="B5" s="3" t="s">
        <v>69</v>
      </c>
      <c r="C5" s="3" t="s">
        <v>75</v>
      </c>
      <c r="D5" s="3"/>
      <c r="E5" s="9">
        <v>44928</v>
      </c>
      <c r="F5" s="3" t="s">
        <v>73</v>
      </c>
      <c r="G5" s="3" t="s">
        <v>76</v>
      </c>
    </row>
    <row r="6" spans="1:7" ht="15.75" customHeight="1">
      <c r="A6" s="9">
        <v>44928</v>
      </c>
      <c r="B6" s="3" t="s">
        <v>73</v>
      </c>
      <c r="C6" s="3" t="s">
        <v>70</v>
      </c>
      <c r="D6" s="3"/>
      <c r="E6" s="3"/>
      <c r="F6" s="3"/>
      <c r="G6" s="3"/>
    </row>
    <row r="7" spans="1:7" ht="15.75" customHeight="1">
      <c r="A7" s="9">
        <v>44928</v>
      </c>
      <c r="B7" s="3" t="s">
        <v>73</v>
      </c>
      <c r="C7" s="3" t="s">
        <v>77</v>
      </c>
      <c r="D7" s="3"/>
      <c r="E7" s="3"/>
      <c r="F7" s="3"/>
      <c r="G7" s="3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G8"/>
  <sheetViews>
    <sheetView workbookViewId="0"/>
  </sheetViews>
  <sheetFormatPr defaultColWidth="12.5703125" defaultRowHeight="15.75" customHeight="1"/>
  <sheetData>
    <row r="1" spans="1:7" ht="15.75" customHeight="1">
      <c r="A1" s="3"/>
      <c r="B1" s="13" t="s">
        <v>78</v>
      </c>
      <c r="C1" s="13" t="s">
        <v>79</v>
      </c>
      <c r="D1" s="13" t="s">
        <v>80</v>
      </c>
      <c r="E1" s="13" t="s">
        <v>81</v>
      </c>
      <c r="F1" s="13" t="s">
        <v>82</v>
      </c>
      <c r="G1" s="13" t="s">
        <v>83</v>
      </c>
    </row>
    <row r="2" spans="1:7" ht="15.75" customHeight="1">
      <c r="A2" s="3"/>
      <c r="B2" s="14">
        <v>12</v>
      </c>
      <c r="C2" s="14">
        <v>7</v>
      </c>
      <c r="D2" s="14">
        <v>7</v>
      </c>
      <c r="E2" s="13">
        <v>-3</v>
      </c>
      <c r="F2" s="14">
        <v>0</v>
      </c>
      <c r="G2" s="14">
        <v>15</v>
      </c>
    </row>
    <row r="3" spans="1:7" ht="15.75" customHeight="1">
      <c r="A3" s="3"/>
      <c r="B3" s="14">
        <v>5</v>
      </c>
      <c r="C3" s="14"/>
      <c r="D3" s="14">
        <v>5</v>
      </c>
      <c r="E3" s="14">
        <v>8</v>
      </c>
      <c r="F3" s="13">
        <v>2</v>
      </c>
      <c r="G3" s="13">
        <v>2</v>
      </c>
    </row>
    <row r="4" spans="1:7" ht="15.75" customHeight="1">
      <c r="A4" s="3"/>
      <c r="B4" s="14">
        <v>20</v>
      </c>
      <c r="C4" s="13">
        <v>-1</v>
      </c>
      <c r="D4" s="14">
        <v>20</v>
      </c>
      <c r="E4" s="14">
        <v>20</v>
      </c>
      <c r="F4" s="13">
        <v>-1</v>
      </c>
      <c r="G4" s="13">
        <v>4</v>
      </c>
    </row>
    <row r="5" spans="1:7" ht="15.75" customHeight="1">
      <c r="A5" s="3"/>
      <c r="B5" s="14"/>
      <c r="C5" s="14"/>
      <c r="D5" s="13">
        <v>9</v>
      </c>
      <c r="E5" s="13">
        <v>9</v>
      </c>
      <c r="F5" s="13">
        <v>9</v>
      </c>
      <c r="G5" s="13">
        <v>9</v>
      </c>
    </row>
    <row r="6" spans="1:7" ht="15.75" customHeight="1">
      <c r="A6" s="3"/>
      <c r="B6" s="13">
        <v>6</v>
      </c>
      <c r="C6" s="13">
        <v>0</v>
      </c>
      <c r="D6" s="14">
        <v>6</v>
      </c>
      <c r="E6" s="13">
        <v>3</v>
      </c>
      <c r="F6" s="14">
        <v>0</v>
      </c>
      <c r="G6" s="13">
        <v>-2</v>
      </c>
    </row>
    <row r="7" spans="1:7" ht="15.75" customHeight="1">
      <c r="A7" s="3"/>
      <c r="B7" s="3"/>
      <c r="C7" s="3"/>
      <c r="D7" s="3"/>
      <c r="E7" s="3"/>
      <c r="F7" s="3"/>
      <c r="G7" s="3"/>
    </row>
    <row r="8" spans="1:7" ht="15.75" customHeight="1">
      <c r="A8" s="15" t="s">
        <v>27</v>
      </c>
      <c r="B8" s="3" t="s">
        <v>84</v>
      </c>
      <c r="C8" s="16">
        <v>39570</v>
      </c>
      <c r="D8" s="3" t="s">
        <v>85</v>
      </c>
      <c r="E8" s="4">
        <v>9</v>
      </c>
      <c r="F8" s="3" t="s">
        <v>86</v>
      </c>
      <c r="G8" s="3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I36"/>
  <sheetViews>
    <sheetView workbookViewId="0"/>
  </sheetViews>
  <sheetFormatPr defaultColWidth="12.5703125" defaultRowHeight="15.75" customHeight="1"/>
  <cols>
    <col min="1" max="1" width="19.85546875" customWidth="1"/>
  </cols>
  <sheetData>
    <row r="1" spans="1:9">
      <c r="A1" s="17" t="s">
        <v>87</v>
      </c>
      <c r="B1" s="17" t="s">
        <v>88</v>
      </c>
      <c r="C1" s="17" t="s">
        <v>53</v>
      </c>
      <c r="F1" s="17" t="s">
        <v>87</v>
      </c>
      <c r="G1" s="17" t="s">
        <v>89</v>
      </c>
      <c r="H1" s="17" t="s">
        <v>90</v>
      </c>
      <c r="I1" s="17" t="s">
        <v>91</v>
      </c>
    </row>
    <row r="2" spans="1:9">
      <c r="A2" s="18" t="s">
        <v>92</v>
      </c>
      <c r="B2" s="18" t="s">
        <v>93</v>
      </c>
      <c r="C2" s="18">
        <v>1200</v>
      </c>
      <c r="F2" s="18" t="s">
        <v>92</v>
      </c>
      <c r="G2" s="18">
        <v>1200</v>
      </c>
      <c r="H2" s="18">
        <v>1350</v>
      </c>
      <c r="I2" s="18">
        <v>1500</v>
      </c>
    </row>
    <row r="3" spans="1:9">
      <c r="A3" s="18" t="s">
        <v>92</v>
      </c>
      <c r="B3" s="18" t="s">
        <v>94</v>
      </c>
      <c r="C3" s="18">
        <v>1350</v>
      </c>
      <c r="F3" s="18" t="s">
        <v>95</v>
      </c>
      <c r="G3" s="18">
        <v>900</v>
      </c>
      <c r="H3" s="18">
        <v>1100</v>
      </c>
      <c r="I3" s="18">
        <v>1050</v>
      </c>
    </row>
    <row r="4" spans="1:9">
      <c r="A4" s="18" t="s">
        <v>92</v>
      </c>
      <c r="B4" s="18" t="s">
        <v>96</v>
      </c>
      <c r="C4" s="18">
        <v>1500</v>
      </c>
      <c r="F4" s="18" t="s">
        <v>97</v>
      </c>
      <c r="G4" s="18">
        <v>700</v>
      </c>
      <c r="H4" s="18">
        <v>850</v>
      </c>
      <c r="I4" s="18">
        <v>920</v>
      </c>
    </row>
    <row r="5" spans="1:9">
      <c r="A5" s="18" t="s">
        <v>95</v>
      </c>
      <c r="B5" s="18" t="s">
        <v>93</v>
      </c>
      <c r="C5" s="18">
        <v>900</v>
      </c>
    </row>
    <row r="6" spans="1:9">
      <c r="A6" s="18" t="s">
        <v>95</v>
      </c>
      <c r="B6" s="18" t="s">
        <v>94</v>
      </c>
      <c r="C6" s="18">
        <v>1100</v>
      </c>
    </row>
    <row r="7" spans="1:9">
      <c r="A7" s="18" t="s">
        <v>95</v>
      </c>
      <c r="B7" s="18" t="s">
        <v>96</v>
      </c>
      <c r="C7" s="18">
        <v>1050</v>
      </c>
    </row>
    <row r="8" spans="1:9">
      <c r="A8" s="18" t="s">
        <v>97</v>
      </c>
      <c r="B8" s="18" t="s">
        <v>93</v>
      </c>
      <c r="C8" s="18">
        <v>700</v>
      </c>
    </row>
    <row r="9" spans="1:9">
      <c r="A9" s="18" t="s">
        <v>97</v>
      </c>
      <c r="B9" s="18" t="s">
        <v>94</v>
      </c>
      <c r="C9" s="18">
        <v>850</v>
      </c>
    </row>
    <row r="10" spans="1:9">
      <c r="A10" s="18" t="s">
        <v>97</v>
      </c>
      <c r="B10" s="18" t="s">
        <v>96</v>
      </c>
      <c r="C10" s="18">
        <v>920</v>
      </c>
    </row>
    <row r="11" spans="1:9">
      <c r="A11" s="19"/>
    </row>
    <row r="12" spans="1:9">
      <c r="A12" s="19"/>
    </row>
    <row r="13" spans="1:9">
      <c r="A13" s="19"/>
    </row>
    <row r="14" spans="1:9">
      <c r="A14" s="19"/>
    </row>
    <row r="15" spans="1:9">
      <c r="A15" s="19"/>
    </row>
    <row r="16" spans="1:9">
      <c r="A16" s="19"/>
    </row>
    <row r="17" spans="1:1">
      <c r="A17" s="19"/>
    </row>
    <row r="18" spans="1:1">
      <c r="A18" s="19"/>
    </row>
    <row r="19" spans="1:1">
      <c r="A19" s="19"/>
    </row>
    <row r="20" spans="1:1">
      <c r="A20" s="19"/>
    </row>
    <row r="21" spans="1:1">
      <c r="A21" s="19"/>
    </row>
    <row r="22" spans="1:1">
      <c r="A22" s="19"/>
    </row>
    <row r="23" spans="1:1">
      <c r="A23" s="19"/>
    </row>
    <row r="24" spans="1:1">
      <c r="A24" s="19"/>
    </row>
    <row r="25" spans="1:1">
      <c r="A25" s="19"/>
    </row>
    <row r="26" spans="1:1">
      <c r="A26" s="19"/>
    </row>
    <row r="27" spans="1:1">
      <c r="A27" s="19"/>
    </row>
    <row r="28" spans="1:1">
      <c r="A28" s="19"/>
    </row>
    <row r="29" spans="1:1">
      <c r="A29" s="19"/>
    </row>
    <row r="30" spans="1:1">
      <c r="A30" s="19"/>
    </row>
    <row r="31" spans="1:1">
      <c r="A31" s="19"/>
    </row>
    <row r="32" spans="1:1">
      <c r="A32" s="19"/>
    </row>
    <row r="33" spans="1:1">
      <c r="A33" s="19"/>
    </row>
    <row r="34" spans="1:1">
      <c r="A34" s="19"/>
    </row>
    <row r="35" spans="1:1">
      <c r="A35" s="19"/>
    </row>
    <row r="36" spans="1:1">
      <c r="A36" s="19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K12"/>
  <sheetViews>
    <sheetView workbookViewId="0"/>
  </sheetViews>
  <sheetFormatPr defaultColWidth="12.5703125" defaultRowHeight="15.75" customHeight="1"/>
  <sheetData>
    <row r="1" spans="1:11" ht="15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5.75" customHeight="1">
      <c r="A2" s="3"/>
      <c r="B2" s="99" t="s">
        <v>98</v>
      </c>
      <c r="C2" s="98"/>
      <c r="D2" s="98"/>
      <c r="E2" s="98"/>
      <c r="F2" s="98"/>
      <c r="G2" s="98"/>
      <c r="H2" s="98"/>
      <c r="I2" s="3"/>
      <c r="J2" s="3"/>
      <c r="K2" s="3"/>
    </row>
    <row r="3" spans="1:11" ht="15.75" customHeight="1">
      <c r="A3" s="3"/>
      <c r="B3" s="3"/>
      <c r="C3" s="3"/>
      <c r="D3" s="3"/>
      <c r="E3" s="7">
        <v>12</v>
      </c>
      <c r="F3" s="3"/>
      <c r="G3" s="3"/>
      <c r="H3" s="3"/>
      <c r="I3" s="3"/>
      <c r="J3" s="3"/>
      <c r="K3" s="3"/>
    </row>
    <row r="4" spans="1:11" ht="15.75" customHeight="1">
      <c r="A4" s="3"/>
      <c r="B4" s="3"/>
      <c r="C4" s="3"/>
      <c r="D4" s="20">
        <v>11</v>
      </c>
      <c r="E4" s="3"/>
      <c r="F4" s="4">
        <v>1</v>
      </c>
      <c r="G4" s="3"/>
      <c r="H4" s="3"/>
      <c r="I4" s="3"/>
      <c r="J4" s="20" t="s">
        <v>99</v>
      </c>
      <c r="K4" s="3"/>
    </row>
    <row r="5" spans="1:11" ht="15.75" customHeight="1">
      <c r="A5" s="3"/>
      <c r="B5" s="3"/>
      <c r="C5" s="21">
        <v>10</v>
      </c>
      <c r="D5" s="3"/>
      <c r="E5" s="3"/>
      <c r="F5" s="3"/>
      <c r="G5" s="4">
        <v>2</v>
      </c>
      <c r="H5" s="3"/>
      <c r="I5" s="3"/>
      <c r="J5" s="22" t="s">
        <v>100</v>
      </c>
      <c r="K5" s="3"/>
    </row>
    <row r="6" spans="1:11" ht="15.75" customHeight="1">
      <c r="A6" s="3"/>
      <c r="B6" s="21">
        <v>9</v>
      </c>
      <c r="C6" s="3"/>
      <c r="D6" s="3"/>
      <c r="E6" s="3"/>
      <c r="F6" s="3"/>
      <c r="G6" s="3"/>
      <c r="H6" s="4">
        <v>3</v>
      </c>
      <c r="I6" s="3"/>
      <c r="J6" s="3"/>
      <c r="K6" s="3"/>
    </row>
    <row r="7" spans="1:11" ht="15.75" customHeight="1">
      <c r="A7" s="3"/>
      <c r="B7" s="3"/>
      <c r="C7" s="21">
        <v>8</v>
      </c>
      <c r="D7" s="3"/>
      <c r="E7" s="3"/>
      <c r="F7" s="3"/>
      <c r="G7" s="4">
        <v>4</v>
      </c>
      <c r="H7" s="3"/>
      <c r="I7" s="3"/>
      <c r="J7" s="23" t="s">
        <v>101</v>
      </c>
      <c r="K7" s="3"/>
    </row>
    <row r="8" spans="1:11" ht="15.75" customHeight="1">
      <c r="A8" s="3"/>
      <c r="B8" s="3"/>
      <c r="C8" s="3"/>
      <c r="D8" s="21">
        <v>7</v>
      </c>
      <c r="E8" s="3"/>
      <c r="F8" s="24">
        <v>5</v>
      </c>
      <c r="G8" s="3"/>
      <c r="H8" s="3"/>
      <c r="I8" s="3"/>
      <c r="J8" s="3"/>
      <c r="K8" s="3"/>
    </row>
    <row r="9" spans="1:11" ht="15.75" customHeight="1">
      <c r="A9" s="3"/>
      <c r="B9" s="3"/>
      <c r="C9" s="3"/>
      <c r="D9" s="3"/>
      <c r="E9" s="7">
        <v>6</v>
      </c>
      <c r="F9" s="3"/>
      <c r="G9" s="3"/>
      <c r="H9" s="3"/>
      <c r="I9" s="3"/>
      <c r="J9" s="3"/>
      <c r="K9" s="3"/>
    </row>
    <row r="10" spans="1:11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</sheetData>
  <mergeCells count="1">
    <mergeCell ref="B2:H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B5"/>
  <sheetViews>
    <sheetView workbookViewId="0"/>
  </sheetViews>
  <sheetFormatPr defaultColWidth="12.5703125" defaultRowHeight="15.75" customHeight="1"/>
  <cols>
    <col min="1" max="1" width="32.5703125" customWidth="1"/>
  </cols>
  <sheetData>
    <row r="1" spans="1:2" ht="15.75" customHeight="1">
      <c r="A1" s="1" t="s">
        <v>57</v>
      </c>
      <c r="B1" s="5" t="s">
        <v>27</v>
      </c>
    </row>
    <row r="2" spans="1:2" ht="15.75" customHeight="1">
      <c r="A2" s="3" t="s">
        <v>102</v>
      </c>
      <c r="B2" s="3" t="s">
        <v>103</v>
      </c>
    </row>
    <row r="3" spans="1:2" ht="15.75" customHeight="1">
      <c r="A3" s="3" t="s">
        <v>104</v>
      </c>
      <c r="B3" s="3" t="s">
        <v>105</v>
      </c>
    </row>
    <row r="4" spans="1:2" ht="15.75" customHeight="1">
      <c r="A4" s="3" t="s">
        <v>106</v>
      </c>
      <c r="B4" s="3" t="s">
        <v>107</v>
      </c>
    </row>
    <row r="5" spans="1:2" ht="15.75" customHeight="1">
      <c r="A5" s="3" t="s">
        <v>108</v>
      </c>
      <c r="B5" s="3" t="s">
        <v>109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B8"/>
  <sheetViews>
    <sheetView workbookViewId="0"/>
  </sheetViews>
  <sheetFormatPr defaultColWidth="12.5703125" defaultRowHeight="15.75" customHeight="1"/>
  <cols>
    <col min="1" max="1" width="25.85546875" customWidth="1"/>
    <col min="2" max="2" width="27.5703125" customWidth="1"/>
  </cols>
  <sheetData>
    <row r="1" spans="1:2" ht="15.75" customHeight="1">
      <c r="A1" s="1" t="s">
        <v>57</v>
      </c>
      <c r="B1" s="5" t="s">
        <v>27</v>
      </c>
    </row>
    <row r="2" spans="1:2" ht="15.75" customHeight="1">
      <c r="A2" s="3" t="s">
        <v>110</v>
      </c>
      <c r="B2" s="21">
        <v>2017</v>
      </c>
    </row>
    <row r="3" spans="1:2" ht="15.75" customHeight="1">
      <c r="A3" s="3" t="s">
        <v>111</v>
      </c>
      <c r="B3" s="21" t="s">
        <v>112</v>
      </c>
    </row>
    <row r="4" spans="1:2" ht="15.75" customHeight="1">
      <c r="A4" s="3" t="s">
        <v>113</v>
      </c>
      <c r="B4" s="21" t="s">
        <v>114</v>
      </c>
    </row>
    <row r="5" spans="1:2" ht="15.75" customHeight="1">
      <c r="A5" s="3" t="s">
        <v>115</v>
      </c>
      <c r="B5" s="21" t="s">
        <v>116</v>
      </c>
    </row>
    <row r="6" spans="1:2" ht="15.75" customHeight="1">
      <c r="A6" s="3" t="s">
        <v>117</v>
      </c>
      <c r="B6" s="21" t="s">
        <v>118</v>
      </c>
    </row>
    <row r="7" spans="1:2" ht="15.75" customHeight="1">
      <c r="A7" s="3" t="s">
        <v>119</v>
      </c>
      <c r="B7" s="21" t="s">
        <v>120</v>
      </c>
    </row>
    <row r="8" spans="1:2" ht="15.75" customHeight="1">
      <c r="A8" s="3" t="s">
        <v>121</v>
      </c>
      <c r="B8" s="21" t="s">
        <v>122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F12"/>
  <sheetViews>
    <sheetView workbookViewId="0"/>
  </sheetViews>
  <sheetFormatPr defaultColWidth="12.5703125" defaultRowHeight="15.75" customHeight="1"/>
  <sheetData>
    <row r="1" spans="1:6" ht="15.75" customHeight="1">
      <c r="A1" s="100" t="s">
        <v>57</v>
      </c>
      <c r="B1" s="98"/>
      <c r="C1" s="3"/>
      <c r="D1" s="3"/>
      <c r="E1" s="97" t="s">
        <v>27</v>
      </c>
      <c r="F1" s="98"/>
    </row>
    <row r="2" spans="1:6" ht="15.75" customHeight="1">
      <c r="A2" s="3" t="s">
        <v>67</v>
      </c>
      <c r="B2" s="3" t="s">
        <v>123</v>
      </c>
      <c r="C2" s="3"/>
      <c r="D2" s="3"/>
      <c r="E2" s="2" t="s">
        <v>67</v>
      </c>
      <c r="F2" s="2" t="s">
        <v>123</v>
      </c>
    </row>
    <row r="3" spans="1:6" ht="15.75" customHeight="1">
      <c r="A3" s="3" t="s">
        <v>69</v>
      </c>
      <c r="B3" s="4">
        <v>1200</v>
      </c>
      <c r="C3" s="3"/>
      <c r="D3" s="3"/>
      <c r="E3" s="3" t="s">
        <v>69</v>
      </c>
      <c r="F3" s="4">
        <v>1200</v>
      </c>
    </row>
    <row r="4" spans="1:6" ht="15.75" customHeight="1">
      <c r="A4" s="3" t="s">
        <v>69</v>
      </c>
      <c r="B4" s="4">
        <v>1300</v>
      </c>
      <c r="C4" s="3"/>
      <c r="D4" s="3"/>
      <c r="E4" s="3" t="s">
        <v>69</v>
      </c>
      <c r="F4" s="4">
        <v>1300</v>
      </c>
    </row>
    <row r="5" spans="1:6" ht="15.75" customHeight="1">
      <c r="A5" s="3" t="s">
        <v>69</v>
      </c>
      <c r="B5" s="4">
        <v>500</v>
      </c>
      <c r="C5" s="3"/>
      <c r="D5" s="3"/>
      <c r="E5" s="3" t="s">
        <v>73</v>
      </c>
      <c r="F5" s="4">
        <v>1000</v>
      </c>
    </row>
    <row r="6" spans="1:6" ht="15.75" customHeight="1">
      <c r="A6" s="3" t="s">
        <v>73</v>
      </c>
      <c r="B6" s="4">
        <v>800</v>
      </c>
      <c r="C6" s="3"/>
      <c r="D6" s="3"/>
      <c r="E6" s="3" t="s">
        <v>124</v>
      </c>
      <c r="F6" s="4">
        <v>500</v>
      </c>
    </row>
    <row r="7" spans="1:6" ht="15.75" customHeight="1">
      <c r="A7" s="3" t="s">
        <v>73</v>
      </c>
      <c r="B7" s="4">
        <v>1000</v>
      </c>
      <c r="C7" s="3"/>
      <c r="D7" s="3"/>
      <c r="E7" s="3" t="s">
        <v>125</v>
      </c>
      <c r="F7" s="4">
        <v>2400</v>
      </c>
    </row>
    <row r="8" spans="1:6" ht="15.75" customHeight="1">
      <c r="A8" s="3" t="s">
        <v>124</v>
      </c>
      <c r="B8" s="4">
        <v>500</v>
      </c>
      <c r="C8" s="3"/>
      <c r="D8" s="3"/>
      <c r="E8" s="3" t="s">
        <v>125</v>
      </c>
      <c r="F8" s="4">
        <v>1300</v>
      </c>
    </row>
    <row r="9" spans="1:6" ht="15.75" customHeight="1">
      <c r="A9" s="3" t="s">
        <v>125</v>
      </c>
      <c r="B9" s="4">
        <v>2400</v>
      </c>
      <c r="C9" s="3"/>
      <c r="D9" s="3"/>
      <c r="E9" s="3" t="s">
        <v>126</v>
      </c>
      <c r="F9" s="4">
        <v>1400</v>
      </c>
    </row>
    <row r="10" spans="1:6" ht="15.75" customHeight="1">
      <c r="A10" s="3" t="s">
        <v>125</v>
      </c>
      <c r="B10" s="4">
        <v>1300</v>
      </c>
      <c r="C10" s="3"/>
      <c r="D10" s="3"/>
      <c r="E10" s="3"/>
      <c r="F10" s="3"/>
    </row>
    <row r="11" spans="1:6" ht="15.75" customHeight="1">
      <c r="A11" s="3" t="s">
        <v>125</v>
      </c>
      <c r="B11" s="4">
        <v>700</v>
      </c>
      <c r="C11" s="3"/>
      <c r="D11" s="3"/>
      <c r="E11" s="3"/>
      <c r="F11" s="3"/>
    </row>
    <row r="12" spans="1:6" ht="15.75" customHeight="1">
      <c r="A12" s="3" t="s">
        <v>126</v>
      </c>
      <c r="B12" s="4">
        <v>1400</v>
      </c>
      <c r="C12" s="3"/>
      <c r="D12" s="3"/>
      <c r="E12" s="3"/>
      <c r="F12" s="3"/>
    </row>
  </sheetData>
  <mergeCells count="2">
    <mergeCell ref="A1:B1"/>
    <mergeCell ref="E1:F1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L6"/>
  <sheetViews>
    <sheetView workbookViewId="0"/>
  </sheetViews>
  <sheetFormatPr defaultColWidth="12.5703125" defaultRowHeight="15.75" customHeight="1"/>
  <cols>
    <col min="6" max="6" width="4.140625" customWidth="1"/>
    <col min="7" max="7" width="4.5703125" customWidth="1"/>
  </cols>
  <sheetData>
    <row r="1" spans="1:12" ht="15.75" customHeight="1">
      <c r="A1" s="1" t="s">
        <v>69</v>
      </c>
      <c r="B1" s="1" t="s">
        <v>73</v>
      </c>
      <c r="C1" s="1" t="s">
        <v>124</v>
      </c>
      <c r="D1" s="1" t="s">
        <v>125</v>
      </c>
      <c r="E1" s="1" t="s">
        <v>126</v>
      </c>
      <c r="F1" s="3"/>
      <c r="G1" s="3"/>
      <c r="H1" s="5" t="s">
        <v>69</v>
      </c>
      <c r="I1" s="5" t="s">
        <v>73</v>
      </c>
      <c r="J1" s="5" t="s">
        <v>124</v>
      </c>
      <c r="K1" s="5" t="s">
        <v>125</v>
      </c>
      <c r="L1" s="5" t="s">
        <v>126</v>
      </c>
    </row>
    <row r="2" spans="1:12" ht="15.75" customHeight="1">
      <c r="A2" s="25">
        <v>11</v>
      </c>
      <c r="B2" s="4">
        <v>22</v>
      </c>
      <c r="C2" s="4">
        <v>33</v>
      </c>
      <c r="D2" s="4">
        <v>44</v>
      </c>
      <c r="E2" s="25">
        <v>55</v>
      </c>
      <c r="F2" s="3"/>
      <c r="G2" s="3"/>
      <c r="H2" s="25">
        <v>55</v>
      </c>
      <c r="I2" s="4">
        <v>22</v>
      </c>
      <c r="J2" s="4">
        <v>33</v>
      </c>
      <c r="K2" s="4">
        <v>44</v>
      </c>
      <c r="L2" s="25">
        <v>11</v>
      </c>
    </row>
    <row r="3" spans="1:12" ht="15.75" customHeight="1">
      <c r="A3" s="4">
        <v>66</v>
      </c>
      <c r="B3" s="25">
        <v>77</v>
      </c>
      <c r="C3" s="4">
        <v>88</v>
      </c>
      <c r="D3" s="25">
        <v>99</v>
      </c>
      <c r="E3" s="4">
        <v>10</v>
      </c>
      <c r="F3" s="3"/>
      <c r="G3" s="3"/>
      <c r="H3" s="4">
        <v>66</v>
      </c>
      <c r="I3" s="25">
        <v>99</v>
      </c>
      <c r="J3" s="4">
        <v>88</v>
      </c>
      <c r="K3" s="25">
        <v>77</v>
      </c>
      <c r="L3" s="4">
        <v>10</v>
      </c>
    </row>
    <row r="4" spans="1:12" ht="15.75" customHeight="1">
      <c r="A4" s="4">
        <v>21</v>
      </c>
      <c r="B4" s="4">
        <v>31</v>
      </c>
      <c r="C4" s="25">
        <v>41</v>
      </c>
      <c r="D4" s="4">
        <v>51</v>
      </c>
      <c r="E4" s="4">
        <v>61</v>
      </c>
      <c r="F4" s="3"/>
      <c r="G4" s="3"/>
      <c r="H4" s="4">
        <v>21</v>
      </c>
      <c r="I4" s="4">
        <v>31</v>
      </c>
      <c r="J4" s="25">
        <v>41</v>
      </c>
      <c r="K4" s="4">
        <v>51</v>
      </c>
      <c r="L4" s="4">
        <v>61</v>
      </c>
    </row>
    <row r="5" spans="1:12" ht="15.75" customHeight="1">
      <c r="A5" s="4">
        <v>71</v>
      </c>
      <c r="B5" s="25">
        <v>81</v>
      </c>
      <c r="C5" s="4">
        <v>91</v>
      </c>
      <c r="D5" s="25">
        <v>12</v>
      </c>
      <c r="E5" s="4">
        <v>22</v>
      </c>
      <c r="F5" s="3"/>
      <c r="G5" s="3"/>
      <c r="H5" s="4">
        <v>71</v>
      </c>
      <c r="I5" s="25">
        <v>12</v>
      </c>
      <c r="J5" s="4">
        <v>91</v>
      </c>
      <c r="K5" s="25">
        <v>81</v>
      </c>
      <c r="L5" s="4">
        <v>22</v>
      </c>
    </row>
    <row r="6" spans="1:12" ht="15.75" customHeight="1">
      <c r="A6" s="25">
        <v>32</v>
      </c>
      <c r="B6" s="4">
        <v>42</v>
      </c>
      <c r="C6" s="4">
        <v>52</v>
      </c>
      <c r="D6" s="4">
        <v>62</v>
      </c>
      <c r="E6" s="25">
        <v>72</v>
      </c>
      <c r="F6" s="3"/>
      <c r="G6" s="3"/>
      <c r="H6" s="25">
        <v>72</v>
      </c>
      <c r="I6" s="4">
        <v>42</v>
      </c>
      <c r="J6" s="4">
        <v>52</v>
      </c>
      <c r="K6" s="4">
        <v>62</v>
      </c>
      <c r="L6" s="25">
        <v>32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C5"/>
  <sheetViews>
    <sheetView workbookViewId="0"/>
  </sheetViews>
  <sheetFormatPr defaultColWidth="12.5703125" defaultRowHeight="15.75" customHeight="1"/>
  <cols>
    <col min="1" max="1" width="27.7109375" customWidth="1"/>
    <col min="2" max="2" width="2.28515625" customWidth="1"/>
    <col min="3" max="3" width="13.140625" customWidth="1"/>
  </cols>
  <sheetData>
    <row r="1" spans="1:3" ht="15.75" customHeight="1">
      <c r="A1" s="1" t="s">
        <v>0</v>
      </c>
      <c r="B1" s="1" t="s">
        <v>127</v>
      </c>
      <c r="C1" s="5" t="s">
        <v>128</v>
      </c>
    </row>
    <row r="2" spans="1:3" ht="15.75" customHeight="1">
      <c r="A2" s="3" t="s">
        <v>129</v>
      </c>
      <c r="B2" s="4">
        <v>4</v>
      </c>
      <c r="C2" s="3">
        <v>5</v>
      </c>
    </row>
    <row r="3" spans="1:3" ht="15.75" customHeight="1">
      <c r="A3" s="3" t="s">
        <v>130</v>
      </c>
      <c r="B3" s="4">
        <v>2</v>
      </c>
      <c r="C3" s="3" t="s">
        <v>131</v>
      </c>
    </row>
    <row r="4" spans="1:3" ht="15.75" customHeight="1">
      <c r="A4" s="3" t="s">
        <v>132</v>
      </c>
      <c r="B4" s="4">
        <v>1</v>
      </c>
      <c r="C4" s="3" t="s">
        <v>133</v>
      </c>
    </row>
    <row r="5" spans="1:3" ht="15.75" customHeight="1">
      <c r="A5" s="3" t="s">
        <v>134</v>
      </c>
      <c r="B5" s="4">
        <v>4</v>
      </c>
      <c r="C5" s="3" t="s">
        <v>135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I9"/>
  <sheetViews>
    <sheetView workbookViewId="0"/>
  </sheetViews>
  <sheetFormatPr defaultColWidth="12.5703125" defaultRowHeight="15.75" customHeight="1"/>
  <cols>
    <col min="1" max="9" width="3.42578125" customWidth="1"/>
  </cols>
  <sheetData>
    <row r="1" spans="1:9" ht="15.75" customHeight="1">
      <c r="A1" s="26">
        <v>5</v>
      </c>
      <c r="B1" s="27"/>
      <c r="C1" s="27"/>
      <c r="D1" s="27"/>
      <c r="E1" s="27">
        <v>7</v>
      </c>
      <c r="F1" s="27"/>
      <c r="G1" s="27"/>
      <c r="H1" s="27"/>
      <c r="I1" s="27">
        <v>1</v>
      </c>
    </row>
    <row r="2" spans="1:9" ht="15.75" customHeight="1">
      <c r="A2" s="28"/>
      <c r="B2" s="29">
        <v>7</v>
      </c>
      <c r="C2" s="30"/>
      <c r="D2" s="31">
        <v>1</v>
      </c>
      <c r="E2" s="28"/>
      <c r="F2" s="31">
        <v>4</v>
      </c>
      <c r="G2" s="30"/>
      <c r="H2" s="29">
        <v>3</v>
      </c>
      <c r="I2" s="30"/>
    </row>
    <row r="3" spans="1:9" ht="15.75" customHeight="1">
      <c r="A3" s="28"/>
      <c r="B3" s="30"/>
      <c r="C3" s="31">
        <v>2</v>
      </c>
      <c r="D3" s="30"/>
      <c r="E3" s="30"/>
      <c r="F3" s="30"/>
      <c r="G3" s="31">
        <v>6</v>
      </c>
      <c r="H3" s="30"/>
      <c r="I3" s="30"/>
    </row>
    <row r="4" spans="1:9" ht="15.75" customHeight="1">
      <c r="A4" s="32">
        <v>6</v>
      </c>
      <c r="B4" s="33">
        <v>2</v>
      </c>
      <c r="C4" s="33"/>
      <c r="D4" s="34">
        <v>5</v>
      </c>
      <c r="E4" s="33"/>
      <c r="F4" s="33"/>
      <c r="G4" s="33"/>
      <c r="H4" s="33"/>
      <c r="I4" s="34">
        <v>3</v>
      </c>
    </row>
    <row r="5" spans="1:9" ht="15.75" customHeight="1">
      <c r="A5" s="28"/>
      <c r="B5" s="29"/>
      <c r="C5" s="30"/>
      <c r="D5" s="30"/>
      <c r="E5" s="29">
        <v>3</v>
      </c>
      <c r="F5" s="30"/>
      <c r="G5" s="30"/>
      <c r="H5" s="29">
        <v>7</v>
      </c>
      <c r="I5" s="30"/>
    </row>
    <row r="6" spans="1:9" ht="15.75" customHeight="1">
      <c r="A6" s="29">
        <v>1</v>
      </c>
      <c r="B6" s="30"/>
      <c r="C6" s="30"/>
      <c r="D6" s="30"/>
      <c r="E6" s="30">
        <v>8</v>
      </c>
      <c r="F6" s="31"/>
      <c r="G6" s="30"/>
      <c r="H6" s="30"/>
      <c r="I6" s="31">
        <v>6</v>
      </c>
    </row>
    <row r="7" spans="1:9" ht="15.75" customHeight="1">
      <c r="A7" s="35"/>
      <c r="B7" s="33"/>
      <c r="C7" s="34">
        <v>5</v>
      </c>
      <c r="D7" s="33"/>
      <c r="E7" s="33"/>
      <c r="F7" s="33"/>
      <c r="G7" s="34">
        <v>2</v>
      </c>
      <c r="H7" s="33"/>
      <c r="I7" s="33"/>
    </row>
    <row r="8" spans="1:9" ht="15.75" customHeight="1">
      <c r="A8" s="28"/>
      <c r="B8" s="29">
        <v>4</v>
      </c>
      <c r="C8" s="30"/>
      <c r="D8" s="31">
        <v>8</v>
      </c>
      <c r="E8" s="28"/>
      <c r="F8" s="31">
        <v>1</v>
      </c>
      <c r="G8" s="33"/>
      <c r="H8" s="29">
        <v>6</v>
      </c>
      <c r="I8" s="33"/>
    </row>
    <row r="9" spans="1:9" ht="15.75" customHeight="1">
      <c r="A9" s="29">
        <v>7</v>
      </c>
      <c r="B9" s="30"/>
      <c r="C9" s="30"/>
      <c r="D9" s="30"/>
      <c r="E9" s="31">
        <v>5</v>
      </c>
      <c r="F9" s="30"/>
      <c r="G9" s="30"/>
      <c r="H9" s="30"/>
      <c r="I9" s="31">
        <v>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D9"/>
  <sheetViews>
    <sheetView workbookViewId="0"/>
  </sheetViews>
  <sheetFormatPr defaultColWidth="12.5703125" defaultRowHeight="15.75" customHeight="1"/>
  <sheetData>
    <row r="1" spans="1:4" ht="15.75" customHeight="1">
      <c r="A1" s="1" t="s">
        <v>136</v>
      </c>
      <c r="B1" s="1" t="s">
        <v>53</v>
      </c>
      <c r="C1" s="5" t="s">
        <v>137</v>
      </c>
      <c r="D1" s="5" t="s">
        <v>138</v>
      </c>
    </row>
    <row r="2" spans="1:4" ht="15.75" customHeight="1">
      <c r="A2" s="3" t="s">
        <v>139</v>
      </c>
      <c r="B2" s="4">
        <v>9500</v>
      </c>
      <c r="C2" s="4">
        <v>1</v>
      </c>
      <c r="D2" s="4">
        <v>1.01</v>
      </c>
    </row>
    <row r="3" spans="1:4" ht="15.75" customHeight="1">
      <c r="A3" s="3" t="s">
        <v>140</v>
      </c>
      <c r="B3" s="4">
        <v>8800</v>
      </c>
      <c r="C3" s="4">
        <v>2</v>
      </c>
      <c r="D3" s="4">
        <v>2.0099999999999998</v>
      </c>
    </row>
    <row r="4" spans="1:4" ht="15.75" customHeight="1">
      <c r="A4" s="3" t="s">
        <v>141</v>
      </c>
      <c r="B4" s="4">
        <v>8800</v>
      </c>
      <c r="C4" s="4">
        <v>2</v>
      </c>
      <c r="D4" s="4">
        <v>2.02</v>
      </c>
    </row>
    <row r="5" spans="1:4" ht="15.75" customHeight="1">
      <c r="A5" s="3" t="s">
        <v>142</v>
      </c>
      <c r="B5" s="4">
        <v>7600</v>
      </c>
      <c r="C5" s="4">
        <v>4</v>
      </c>
      <c r="D5" s="4">
        <v>4.01</v>
      </c>
    </row>
    <row r="6" spans="1:4" ht="15.75" customHeight="1">
      <c r="A6" s="3" t="s">
        <v>143</v>
      </c>
      <c r="B6" s="4">
        <v>7600</v>
      </c>
      <c r="C6" s="4">
        <v>4</v>
      </c>
      <c r="D6" s="4">
        <v>4.0199999999999996</v>
      </c>
    </row>
    <row r="7" spans="1:4" ht="15.75" customHeight="1">
      <c r="A7" s="3" t="s">
        <v>144</v>
      </c>
      <c r="B7" s="4">
        <v>7200</v>
      </c>
      <c r="C7" s="4">
        <v>6</v>
      </c>
      <c r="D7" s="4">
        <v>6.01</v>
      </c>
    </row>
    <row r="8" spans="1:4" ht="15.75" customHeight="1">
      <c r="A8" s="3" t="s">
        <v>145</v>
      </c>
      <c r="B8" s="4">
        <v>6500</v>
      </c>
      <c r="C8" s="4">
        <v>7</v>
      </c>
      <c r="D8" s="4">
        <v>7.01</v>
      </c>
    </row>
    <row r="9" spans="1:4" ht="15.75" customHeight="1">
      <c r="A9" s="3" t="s">
        <v>146</v>
      </c>
      <c r="B9" s="4">
        <v>6500</v>
      </c>
      <c r="C9" s="4">
        <v>7</v>
      </c>
      <c r="D9" s="4">
        <v>7.02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C9"/>
  <sheetViews>
    <sheetView workbookViewId="0"/>
  </sheetViews>
  <sheetFormatPr defaultColWidth="12.5703125" defaultRowHeight="15.75" customHeight="1"/>
  <sheetData>
    <row r="1" spans="1:3" ht="15.75" customHeight="1">
      <c r="A1" s="1" t="s">
        <v>65</v>
      </c>
      <c r="B1" s="1" t="s">
        <v>53</v>
      </c>
      <c r="C1" s="5" t="s">
        <v>147</v>
      </c>
    </row>
    <row r="2" spans="1:3" ht="15.75" customHeight="1">
      <c r="A2" s="9">
        <v>45658</v>
      </c>
      <c r="B2" s="4">
        <v>500</v>
      </c>
      <c r="C2" s="4">
        <v>500</v>
      </c>
    </row>
    <row r="3" spans="1:3" ht="15.75" customHeight="1">
      <c r="A3" s="9">
        <v>45662</v>
      </c>
      <c r="B3" s="4">
        <v>300</v>
      </c>
      <c r="C3" s="4">
        <v>800</v>
      </c>
    </row>
    <row r="4" spans="1:3" ht="15.75" customHeight="1">
      <c r="A4" s="10">
        <v>45677</v>
      </c>
      <c r="B4" s="4">
        <v>200</v>
      </c>
      <c r="C4" s="4">
        <v>1000</v>
      </c>
    </row>
    <row r="5" spans="1:3" ht="15.75" customHeight="1">
      <c r="A5" s="9">
        <v>45690</v>
      </c>
      <c r="B5" s="4">
        <v>400</v>
      </c>
      <c r="C5" s="4">
        <v>400</v>
      </c>
    </row>
    <row r="6" spans="1:3" ht="15.75" customHeight="1">
      <c r="A6" s="10">
        <v>45698</v>
      </c>
      <c r="B6" s="4">
        <v>600</v>
      </c>
      <c r="C6" s="4">
        <v>1000</v>
      </c>
    </row>
    <row r="7" spans="1:3" ht="15.75" customHeight="1">
      <c r="A7" s="10">
        <v>45703</v>
      </c>
      <c r="B7" s="4">
        <v>300</v>
      </c>
      <c r="C7" s="4">
        <v>1300</v>
      </c>
    </row>
    <row r="8" spans="1:3" ht="15.75" customHeight="1">
      <c r="A8" s="9">
        <v>45717</v>
      </c>
      <c r="B8" s="4">
        <v>700</v>
      </c>
      <c r="C8" s="4">
        <v>700</v>
      </c>
    </row>
    <row r="9" spans="1:3" ht="15.75" customHeight="1">
      <c r="A9" s="9">
        <v>45719</v>
      </c>
      <c r="B9" s="4">
        <v>800</v>
      </c>
      <c r="C9" s="4">
        <v>1500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F6"/>
  <sheetViews>
    <sheetView workbookViewId="0"/>
  </sheetViews>
  <sheetFormatPr defaultColWidth="12.5703125" defaultRowHeight="15.75" customHeight="1"/>
  <sheetData>
    <row r="1" spans="1:6" ht="15.75" customHeight="1">
      <c r="A1" s="3" t="s">
        <v>148</v>
      </c>
      <c r="B1" s="3"/>
      <c r="C1" s="5" t="s">
        <v>149</v>
      </c>
      <c r="D1" s="5" t="s">
        <v>150</v>
      </c>
      <c r="E1" s="5" t="s">
        <v>151</v>
      </c>
      <c r="F1" s="5" t="s">
        <v>152</v>
      </c>
    </row>
    <row r="2" spans="1:6" ht="15.75" customHeight="1">
      <c r="A2" s="3" t="s">
        <v>153</v>
      </c>
      <c r="B2" s="3"/>
      <c r="C2" s="3" t="s">
        <v>154</v>
      </c>
      <c r="D2" s="4">
        <v>20</v>
      </c>
      <c r="E2" s="4">
        <v>15</v>
      </c>
      <c r="F2" s="4">
        <v>10</v>
      </c>
    </row>
    <row r="3" spans="1:6" ht="15.75" customHeight="1">
      <c r="A3" s="3" t="s">
        <v>155</v>
      </c>
      <c r="B3" s="3"/>
      <c r="C3" s="3" t="s">
        <v>156</v>
      </c>
      <c r="D3" s="4">
        <v>45</v>
      </c>
      <c r="E3" s="4">
        <v>60</v>
      </c>
      <c r="F3" s="4">
        <v>35</v>
      </c>
    </row>
    <row r="4" spans="1:6" ht="15.75" customHeight="1">
      <c r="A4" s="3" t="s">
        <v>157</v>
      </c>
      <c r="B4" s="3"/>
      <c r="C4" s="3" t="s">
        <v>158</v>
      </c>
      <c r="D4" s="4">
        <v>30</v>
      </c>
      <c r="E4" s="4">
        <v>25</v>
      </c>
      <c r="F4" s="4">
        <v>50</v>
      </c>
    </row>
    <row r="5" spans="1:6" ht="15.75" customHeight="1">
      <c r="A5" s="3" t="s">
        <v>159</v>
      </c>
      <c r="B5" s="3"/>
      <c r="C5" s="3" t="s">
        <v>160</v>
      </c>
      <c r="D5" s="4">
        <v>90</v>
      </c>
      <c r="E5" s="4">
        <v>40</v>
      </c>
      <c r="F5" s="3"/>
    </row>
    <row r="6" spans="1:6" ht="15.75" customHeight="1">
      <c r="A6" s="3" t="s">
        <v>161</v>
      </c>
      <c r="B6" s="3"/>
      <c r="C6" s="3"/>
      <c r="D6" s="3"/>
      <c r="E6" s="3"/>
      <c r="F6" s="3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E2"/>
  <sheetViews>
    <sheetView workbookViewId="0"/>
  </sheetViews>
  <sheetFormatPr defaultColWidth="12.5703125" defaultRowHeight="15.75" customHeight="1"/>
  <cols>
    <col min="3" max="3" width="20" customWidth="1"/>
    <col min="4" max="4" width="16.42578125" customWidth="1"/>
  </cols>
  <sheetData>
    <row r="1" spans="1:5" ht="15.75" customHeight="1">
      <c r="A1" s="3" t="s">
        <v>162</v>
      </c>
      <c r="B1" s="3" t="s">
        <v>163</v>
      </c>
      <c r="C1" s="3" t="s">
        <v>164</v>
      </c>
      <c r="D1" s="3" t="s">
        <v>165</v>
      </c>
      <c r="E1" s="2" t="s">
        <v>166</v>
      </c>
    </row>
    <row r="2" spans="1:5" ht="15.75" customHeight="1">
      <c r="A2" s="9">
        <v>45658</v>
      </c>
      <c r="B2" s="9">
        <v>10959</v>
      </c>
      <c r="C2" s="4">
        <v>2</v>
      </c>
      <c r="D2" s="4">
        <v>1</v>
      </c>
      <c r="E2" s="3" t="s">
        <v>167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G2"/>
  <sheetViews>
    <sheetView workbookViewId="0"/>
  </sheetViews>
  <sheetFormatPr defaultColWidth="12.5703125" defaultRowHeight="15.75" customHeight="1"/>
  <sheetData>
    <row r="1" spans="1:7" ht="15.75" customHeight="1">
      <c r="A1" s="3" t="s">
        <v>168</v>
      </c>
      <c r="B1" s="3" t="s">
        <v>169</v>
      </c>
      <c r="C1" s="3" t="s">
        <v>170</v>
      </c>
      <c r="D1" s="3" t="s">
        <v>171</v>
      </c>
      <c r="E1" s="2" t="s">
        <v>172</v>
      </c>
      <c r="F1" s="2" t="s">
        <v>173</v>
      </c>
      <c r="G1" s="2" t="s">
        <v>174</v>
      </c>
    </row>
    <row r="2" spans="1:7" ht="15.75" customHeight="1">
      <c r="A2" s="4">
        <v>50</v>
      </c>
      <c r="B2" s="4">
        <v>4.2</v>
      </c>
      <c r="C2" s="4">
        <v>0.6</v>
      </c>
      <c r="D2" s="36">
        <v>0.95</v>
      </c>
      <c r="E2" s="3">
        <v>0.16600000000000001</v>
      </c>
      <c r="F2" s="3">
        <v>4.0339999999999998</v>
      </c>
      <c r="G2" s="3">
        <v>4.3659999999999997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D3"/>
  <sheetViews>
    <sheetView workbookViewId="0"/>
  </sheetViews>
  <sheetFormatPr defaultColWidth="12.5703125" defaultRowHeight="15.75" customHeight="1"/>
  <cols>
    <col min="4" max="4" width="14.28515625" customWidth="1"/>
  </cols>
  <sheetData>
    <row r="1" spans="1:4" ht="15.75" customHeight="1">
      <c r="A1" s="1" t="s">
        <v>175</v>
      </c>
      <c r="B1" s="1" t="s">
        <v>176</v>
      </c>
      <c r="C1" s="1" t="s">
        <v>177</v>
      </c>
      <c r="D1" s="5" t="s">
        <v>178</v>
      </c>
    </row>
    <row r="2" spans="1:4" ht="15.75" customHeight="1">
      <c r="A2" s="3" t="s">
        <v>69</v>
      </c>
      <c r="B2" s="4">
        <v>12</v>
      </c>
      <c r="C2" s="4">
        <v>5</v>
      </c>
      <c r="D2" s="4">
        <v>8.4852813739999995</v>
      </c>
    </row>
    <row r="3" spans="1:4" ht="15.75" customHeight="1">
      <c r="A3" s="3" t="s">
        <v>73</v>
      </c>
      <c r="B3" s="4">
        <v>18</v>
      </c>
      <c r="C3" s="4">
        <v>11</v>
      </c>
      <c r="D3" s="4"/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D5"/>
  <sheetViews>
    <sheetView workbookViewId="0"/>
  </sheetViews>
  <sheetFormatPr defaultColWidth="12.5703125" defaultRowHeight="15.75" customHeight="1"/>
  <sheetData>
    <row r="1" spans="1:4" ht="15.75" customHeight="1">
      <c r="A1" s="101" t="s">
        <v>179</v>
      </c>
      <c r="B1" s="98"/>
      <c r="C1" s="98"/>
      <c r="D1" s="5" t="s">
        <v>180</v>
      </c>
    </row>
    <row r="2" spans="1:4" ht="15.75" customHeight="1">
      <c r="A2" s="4">
        <v>6</v>
      </c>
      <c r="B2" s="4">
        <v>8</v>
      </c>
      <c r="C2" s="3"/>
      <c r="D2" s="4">
        <v>24</v>
      </c>
    </row>
    <row r="3" spans="1:4" ht="15.75" customHeight="1">
      <c r="A3" s="4">
        <v>15</v>
      </c>
      <c r="B3" s="4">
        <v>20</v>
      </c>
      <c r="C3" s="3"/>
      <c r="D3" s="4">
        <v>60</v>
      </c>
    </row>
    <row r="4" spans="1:4" ht="15.75" customHeight="1">
      <c r="A4" s="4">
        <v>4</v>
      </c>
      <c r="B4" s="4">
        <v>5</v>
      </c>
      <c r="C4" s="4">
        <v>10</v>
      </c>
      <c r="D4" s="4">
        <v>20</v>
      </c>
    </row>
    <row r="5" spans="1:4" ht="15.75" customHeight="1">
      <c r="A5" s="4">
        <v>7</v>
      </c>
      <c r="B5" s="4">
        <v>14</v>
      </c>
      <c r="C5" s="4">
        <v>21</v>
      </c>
      <c r="D5" s="4">
        <v>42</v>
      </c>
    </row>
  </sheetData>
  <mergeCells count="1">
    <mergeCell ref="A1:C1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B4"/>
  <sheetViews>
    <sheetView workbookViewId="0"/>
  </sheetViews>
  <sheetFormatPr defaultColWidth="12.5703125" defaultRowHeight="15.75" customHeight="1"/>
  <sheetData>
    <row r="1" spans="1:2" ht="15.75" customHeight="1">
      <c r="A1" s="21" t="s">
        <v>181</v>
      </c>
      <c r="B1" s="37" t="s">
        <v>182</v>
      </c>
    </row>
    <row r="2" spans="1:2" ht="15.75" customHeight="1">
      <c r="A2" s="4">
        <v>4567</v>
      </c>
      <c r="B2" s="4">
        <v>4</v>
      </c>
    </row>
    <row r="3" spans="1:2" ht="15.75" customHeight="1">
      <c r="A3" s="4">
        <v>234</v>
      </c>
      <c r="B3" s="4">
        <v>9</v>
      </c>
    </row>
    <row r="4" spans="1:2" ht="15.75" customHeight="1">
      <c r="A4" s="4">
        <v>58975</v>
      </c>
      <c r="B4" s="4">
        <v>7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D4"/>
  <sheetViews>
    <sheetView workbookViewId="0"/>
  </sheetViews>
  <sheetFormatPr defaultColWidth="12.5703125" defaultRowHeight="15.75" customHeight="1"/>
  <sheetData>
    <row r="1" spans="1:4" ht="15.75" customHeight="1">
      <c r="A1" s="1" t="s">
        <v>183</v>
      </c>
      <c r="B1" s="1" t="s">
        <v>184</v>
      </c>
      <c r="C1" s="1"/>
      <c r="D1" s="5" t="s">
        <v>185</v>
      </c>
    </row>
    <row r="2" spans="1:4" ht="15.75" customHeight="1">
      <c r="A2" s="4">
        <v>5</v>
      </c>
      <c r="B2" s="4">
        <v>3</v>
      </c>
      <c r="C2" s="3"/>
      <c r="D2" s="4">
        <v>60</v>
      </c>
    </row>
    <row r="3" spans="1:4" ht="15.75" customHeight="1">
      <c r="A3" s="4">
        <v>10</v>
      </c>
      <c r="B3" s="4">
        <v>2</v>
      </c>
      <c r="C3" s="3"/>
      <c r="D3" s="4">
        <v>90</v>
      </c>
    </row>
    <row r="4" spans="1:4" ht="15.75" customHeight="1">
      <c r="A4" s="4">
        <v>6</v>
      </c>
      <c r="B4" s="4">
        <v>6</v>
      </c>
      <c r="C4" s="3"/>
      <c r="D4" s="4">
        <v>720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D6"/>
  <sheetViews>
    <sheetView workbookViewId="0"/>
  </sheetViews>
  <sheetFormatPr defaultColWidth="12.5703125" defaultRowHeight="15.75" customHeight="1"/>
  <cols>
    <col min="4" max="4" width="14.7109375" customWidth="1"/>
  </cols>
  <sheetData>
    <row r="1" spans="1:4" ht="15.75" customHeight="1">
      <c r="A1" s="1" t="s">
        <v>186</v>
      </c>
      <c r="B1" s="1" t="s">
        <v>187</v>
      </c>
      <c r="C1" s="3"/>
      <c r="D1" s="2" t="s">
        <v>188</v>
      </c>
    </row>
    <row r="2" spans="1:4" ht="15.75" customHeight="1">
      <c r="A2" s="4">
        <v>5</v>
      </c>
      <c r="B2" s="4">
        <v>120</v>
      </c>
      <c r="C2" s="3"/>
      <c r="D2" s="4">
        <v>3.9</v>
      </c>
    </row>
    <row r="3" spans="1:4" ht="15.75" customHeight="1">
      <c r="A3" s="4">
        <v>4</v>
      </c>
      <c r="B3" s="4">
        <v>80</v>
      </c>
      <c r="C3" s="3"/>
      <c r="D3" s="3"/>
    </row>
    <row r="4" spans="1:4" ht="15.75" customHeight="1">
      <c r="A4" s="4">
        <v>3</v>
      </c>
      <c r="B4" s="4">
        <v>60</v>
      </c>
      <c r="C4" s="3"/>
      <c r="D4" s="3"/>
    </row>
    <row r="5" spans="1:4" ht="15.75" customHeight="1">
      <c r="A5" s="4">
        <v>2</v>
      </c>
      <c r="B5" s="4">
        <v>30</v>
      </c>
      <c r="C5" s="3"/>
      <c r="D5" s="3"/>
    </row>
    <row r="6" spans="1:4" ht="15.75" customHeight="1">
      <c r="A6" s="4">
        <v>1</v>
      </c>
      <c r="B6" s="4">
        <v>10</v>
      </c>
      <c r="C6" s="3"/>
      <c r="D6" s="3"/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J5"/>
  <sheetViews>
    <sheetView workbookViewId="0"/>
  </sheetViews>
  <sheetFormatPr defaultColWidth="12.5703125" defaultRowHeight="15.75" customHeight="1"/>
  <sheetData>
    <row r="1" spans="1:10" ht="15.75" customHeight="1">
      <c r="A1" s="1" t="s">
        <v>67</v>
      </c>
      <c r="B1" s="1" t="s">
        <v>189</v>
      </c>
      <c r="C1" s="3"/>
      <c r="D1" s="8" t="s">
        <v>190</v>
      </c>
      <c r="E1" s="37" t="s">
        <v>191</v>
      </c>
      <c r="F1" s="37" t="s">
        <v>192</v>
      </c>
      <c r="G1" s="37" t="s">
        <v>193</v>
      </c>
      <c r="H1" s="3"/>
      <c r="I1" s="1" t="s">
        <v>194</v>
      </c>
      <c r="J1" s="1" t="s">
        <v>195</v>
      </c>
    </row>
    <row r="2" spans="1:10" ht="15.75" customHeight="1">
      <c r="A2" s="21" t="s">
        <v>196</v>
      </c>
      <c r="B2" s="4">
        <v>1200</v>
      </c>
      <c r="C2" s="3"/>
      <c r="D2" s="38">
        <v>99900</v>
      </c>
      <c r="E2" s="38">
        <v>175800</v>
      </c>
      <c r="F2" s="21">
        <v>936</v>
      </c>
      <c r="G2" s="38">
        <v>1104</v>
      </c>
      <c r="H2" s="3"/>
      <c r="I2" s="21" t="s">
        <v>190</v>
      </c>
      <c r="J2" s="4">
        <v>83.25</v>
      </c>
    </row>
    <row r="3" spans="1:10" ht="15.75" customHeight="1">
      <c r="A3" s="21" t="s">
        <v>197</v>
      </c>
      <c r="B3" s="4">
        <v>800</v>
      </c>
      <c r="C3" s="3"/>
      <c r="D3" s="38">
        <v>66600</v>
      </c>
      <c r="E3" s="38">
        <v>117200</v>
      </c>
      <c r="F3" s="21">
        <v>624</v>
      </c>
      <c r="G3" s="21">
        <v>736</v>
      </c>
      <c r="H3" s="3"/>
      <c r="I3" s="21" t="s">
        <v>193</v>
      </c>
      <c r="J3" s="4">
        <v>0.92</v>
      </c>
    </row>
    <row r="4" spans="1:10" ht="15.75" customHeight="1">
      <c r="A4" s="21" t="s">
        <v>198</v>
      </c>
      <c r="B4" s="4">
        <v>500</v>
      </c>
      <c r="C4" s="3"/>
      <c r="D4" s="38">
        <v>41625</v>
      </c>
      <c r="E4" s="38">
        <v>73250</v>
      </c>
      <c r="F4" s="21">
        <v>390</v>
      </c>
      <c r="G4" s="21">
        <v>460</v>
      </c>
      <c r="H4" s="3"/>
      <c r="I4" s="21" t="s">
        <v>192</v>
      </c>
      <c r="J4" s="4">
        <v>0.78</v>
      </c>
    </row>
    <row r="5" spans="1:10" ht="15.75" customHeight="1">
      <c r="A5" s="21" t="s">
        <v>199</v>
      </c>
      <c r="B5" s="4">
        <v>1500</v>
      </c>
      <c r="C5" s="3"/>
      <c r="D5" s="38">
        <v>124875</v>
      </c>
      <c r="E5" s="38">
        <v>219750</v>
      </c>
      <c r="F5" s="38">
        <v>1170</v>
      </c>
      <c r="G5" s="38">
        <v>1380</v>
      </c>
      <c r="H5" s="3"/>
      <c r="I5" s="21" t="s">
        <v>191</v>
      </c>
      <c r="J5" s="4">
        <v>146.5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G5"/>
  <sheetViews>
    <sheetView workbookViewId="0"/>
  </sheetViews>
  <sheetFormatPr defaultColWidth="12.5703125" defaultRowHeight="15.75" customHeight="1"/>
  <sheetData>
    <row r="1" spans="1:7" ht="15.75" customHeight="1">
      <c r="A1" s="1" t="s">
        <v>66</v>
      </c>
      <c r="B1" s="1" t="s">
        <v>200</v>
      </c>
      <c r="C1" s="1" t="s">
        <v>201</v>
      </c>
      <c r="D1" s="1" t="s">
        <v>202</v>
      </c>
      <c r="E1" s="3"/>
      <c r="F1" s="5" t="s">
        <v>203</v>
      </c>
      <c r="G1" s="5" t="s">
        <v>204</v>
      </c>
    </row>
    <row r="2" spans="1:7" ht="15.75" customHeight="1">
      <c r="A2" s="3" t="s">
        <v>205</v>
      </c>
      <c r="B2" s="39">
        <v>500000</v>
      </c>
      <c r="C2" s="4">
        <v>8.5</v>
      </c>
      <c r="D2" s="4">
        <v>10</v>
      </c>
      <c r="E2" s="3"/>
      <c r="F2" s="4" t="s">
        <v>206</v>
      </c>
      <c r="G2" s="4" t="s">
        <v>207</v>
      </c>
    </row>
    <row r="3" spans="1:7" ht="15.75" customHeight="1">
      <c r="A3" s="3" t="s">
        <v>208</v>
      </c>
      <c r="B3" s="39">
        <v>250000</v>
      </c>
      <c r="C3" s="4">
        <v>9</v>
      </c>
      <c r="D3" s="4">
        <v>5</v>
      </c>
      <c r="E3" s="3"/>
      <c r="F3" s="4" t="s">
        <v>209</v>
      </c>
      <c r="G3" s="4" t="s">
        <v>210</v>
      </c>
    </row>
    <row r="4" spans="1:7" ht="15.75" customHeight="1">
      <c r="A4" s="3" t="s">
        <v>211</v>
      </c>
      <c r="B4" s="39">
        <v>1000000</v>
      </c>
      <c r="C4" s="4">
        <v>7.5</v>
      </c>
      <c r="D4" s="4">
        <v>15</v>
      </c>
      <c r="E4" s="3"/>
      <c r="F4" s="4" t="s">
        <v>212</v>
      </c>
      <c r="G4" s="4" t="s">
        <v>213</v>
      </c>
    </row>
    <row r="5" spans="1:7" ht="15.75" customHeight="1">
      <c r="A5" s="3" t="s">
        <v>214</v>
      </c>
      <c r="B5" s="39">
        <v>750000</v>
      </c>
      <c r="C5" s="4">
        <v>8</v>
      </c>
      <c r="D5" s="4">
        <v>8</v>
      </c>
      <c r="E5" s="3"/>
      <c r="F5" s="4" t="s">
        <v>215</v>
      </c>
      <c r="G5" s="4" t="s">
        <v>216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D5"/>
  <sheetViews>
    <sheetView workbookViewId="0"/>
  </sheetViews>
  <sheetFormatPr defaultColWidth="12.5703125" defaultRowHeight="15.75" customHeight="1"/>
  <sheetData>
    <row r="1" spans="1:4" ht="15.75" customHeight="1">
      <c r="A1" s="1" t="s">
        <v>136</v>
      </c>
      <c r="B1" s="1" t="s">
        <v>217</v>
      </c>
      <c r="C1" s="3"/>
      <c r="D1" s="40" t="s">
        <v>218</v>
      </c>
    </row>
    <row r="2" spans="1:4" ht="15.75" customHeight="1">
      <c r="A2" s="3" t="s">
        <v>205</v>
      </c>
      <c r="B2" s="39">
        <v>8000</v>
      </c>
      <c r="C2" s="3"/>
      <c r="D2" s="4">
        <v>400</v>
      </c>
    </row>
    <row r="3" spans="1:4" ht="15.75" customHeight="1">
      <c r="A3" s="3" t="s">
        <v>208</v>
      </c>
      <c r="B3" s="39">
        <v>15000</v>
      </c>
      <c r="C3" s="3"/>
      <c r="D3" s="4">
        <v>850</v>
      </c>
    </row>
    <row r="4" spans="1:4" ht="15.75" customHeight="1">
      <c r="A4" s="3" t="s">
        <v>211</v>
      </c>
      <c r="B4" s="39">
        <v>32000</v>
      </c>
      <c r="C4" s="3"/>
      <c r="D4" s="4">
        <v>2100</v>
      </c>
    </row>
    <row r="5" spans="1:4" ht="15.75" customHeight="1">
      <c r="A5" s="3" t="s">
        <v>214</v>
      </c>
      <c r="B5" s="39">
        <v>50000</v>
      </c>
      <c r="C5" s="3"/>
      <c r="D5" s="4">
        <v>3900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I5"/>
  <sheetViews>
    <sheetView workbookViewId="0"/>
  </sheetViews>
  <sheetFormatPr defaultColWidth="12.5703125" defaultRowHeight="15.75" customHeight="1"/>
  <cols>
    <col min="1" max="1" width="7.42578125" customWidth="1"/>
    <col min="2" max="2" width="13.28515625" customWidth="1"/>
    <col min="3" max="3" width="16.7109375" customWidth="1"/>
    <col min="4" max="4" width="19" customWidth="1"/>
    <col min="5" max="5" width="14.28515625" customWidth="1"/>
    <col min="8" max="8" width="7.42578125" customWidth="1"/>
    <col min="9" max="9" width="11" customWidth="1"/>
  </cols>
  <sheetData>
    <row r="1" spans="1:9" ht="15.75" customHeight="1">
      <c r="A1" s="1" t="s">
        <v>219</v>
      </c>
      <c r="B1" s="1" t="s">
        <v>220</v>
      </c>
      <c r="C1" s="1" t="s">
        <v>221</v>
      </c>
      <c r="D1" s="1" t="s">
        <v>222</v>
      </c>
      <c r="E1" s="1" t="s">
        <v>223</v>
      </c>
      <c r="F1" s="3"/>
      <c r="G1" s="3"/>
      <c r="H1" s="41" t="s">
        <v>219</v>
      </c>
      <c r="I1" s="41" t="s">
        <v>224</v>
      </c>
    </row>
    <row r="2" spans="1:9" ht="15.75" customHeight="1">
      <c r="A2" s="4">
        <v>101</v>
      </c>
      <c r="B2" s="3" t="s">
        <v>205</v>
      </c>
      <c r="C2" s="42">
        <v>45505.375</v>
      </c>
      <c r="D2" s="42">
        <v>45505.645833333336</v>
      </c>
      <c r="E2" s="4">
        <v>1</v>
      </c>
      <c r="F2" s="3"/>
      <c r="G2" s="3"/>
      <c r="H2" s="4">
        <v>101</v>
      </c>
      <c r="I2" s="3" t="s">
        <v>225</v>
      </c>
    </row>
    <row r="3" spans="1:9" ht="15.75" customHeight="1">
      <c r="A3" s="4">
        <v>102</v>
      </c>
      <c r="B3" s="3" t="s">
        <v>208</v>
      </c>
      <c r="C3" s="42">
        <v>45506.583333333336</v>
      </c>
      <c r="D3" s="42">
        <v>45507.75</v>
      </c>
      <c r="E3" s="4">
        <v>1</v>
      </c>
      <c r="F3" s="3"/>
      <c r="G3" s="3"/>
      <c r="H3" s="4">
        <v>102</v>
      </c>
      <c r="I3" s="3" t="s">
        <v>226</v>
      </c>
    </row>
    <row r="4" spans="1:9" ht="15.75" customHeight="1">
      <c r="A4" s="4">
        <v>103</v>
      </c>
      <c r="B4" s="3" t="s">
        <v>211</v>
      </c>
      <c r="C4" s="42">
        <v>45509.458333333336</v>
      </c>
      <c r="D4" s="42">
        <v>45509.666666666664</v>
      </c>
      <c r="E4" s="4">
        <v>2</v>
      </c>
      <c r="F4" s="3"/>
      <c r="G4" s="3"/>
      <c r="H4" s="4">
        <v>103</v>
      </c>
      <c r="I4" s="3" t="s">
        <v>226</v>
      </c>
    </row>
    <row r="5" spans="1:9" ht="15.75" customHeight="1">
      <c r="A5" s="4">
        <v>104</v>
      </c>
      <c r="B5" s="3" t="s">
        <v>214</v>
      </c>
      <c r="C5" s="42">
        <v>45510.34375</v>
      </c>
      <c r="D5" s="42">
        <v>45510.40625</v>
      </c>
      <c r="E5" s="4">
        <v>1</v>
      </c>
      <c r="F5" s="3"/>
      <c r="G5" s="3"/>
      <c r="H5" s="4">
        <v>104</v>
      </c>
      <c r="I5" s="3" t="s">
        <v>225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D6"/>
  <sheetViews>
    <sheetView workbookViewId="0"/>
  </sheetViews>
  <sheetFormatPr defaultColWidth="12.5703125" defaultRowHeight="15.75" customHeight="1"/>
  <cols>
    <col min="1" max="1" width="13.42578125" customWidth="1"/>
    <col min="2" max="2" width="16.85546875" customWidth="1"/>
    <col min="3" max="3" width="5.85546875" customWidth="1"/>
    <col min="4" max="4" width="9.42578125" customWidth="1"/>
  </cols>
  <sheetData>
    <row r="1" spans="1:4" ht="15.75" customHeight="1">
      <c r="A1" s="1" t="s">
        <v>227</v>
      </c>
      <c r="B1" s="1" t="s">
        <v>228</v>
      </c>
      <c r="C1" s="1" t="s">
        <v>229</v>
      </c>
      <c r="D1" s="5" t="s">
        <v>230</v>
      </c>
    </row>
    <row r="2" spans="1:4" ht="15.75" customHeight="1">
      <c r="A2" s="3" t="s">
        <v>231</v>
      </c>
      <c r="B2" s="10">
        <v>43169</v>
      </c>
      <c r="C2" s="4">
        <v>4.5</v>
      </c>
      <c r="D2" s="3" t="s">
        <v>232</v>
      </c>
    </row>
    <row r="3" spans="1:4" ht="15.75" customHeight="1">
      <c r="A3" s="3" t="s">
        <v>233</v>
      </c>
      <c r="B3" s="10">
        <v>44399</v>
      </c>
      <c r="C3" s="4">
        <v>4.2</v>
      </c>
      <c r="D3" s="3" t="s">
        <v>234</v>
      </c>
    </row>
    <row r="4" spans="1:4" ht="15.75" customHeight="1">
      <c r="A4" s="3" t="s">
        <v>235</v>
      </c>
      <c r="B4" s="9">
        <v>43682</v>
      </c>
      <c r="C4" s="4">
        <v>3.8</v>
      </c>
      <c r="D4" s="3" t="s">
        <v>234</v>
      </c>
    </row>
    <row r="5" spans="1:4" ht="15.75" customHeight="1">
      <c r="A5" s="3" t="s">
        <v>236</v>
      </c>
      <c r="B5" s="9">
        <v>42005</v>
      </c>
      <c r="C5" s="4">
        <v>4.0999999999999996</v>
      </c>
      <c r="D5" s="3" t="s">
        <v>232</v>
      </c>
    </row>
    <row r="6" spans="1:4" ht="15.75" customHeight="1">
      <c r="A6" s="3" t="s">
        <v>237</v>
      </c>
      <c r="B6" s="10">
        <v>44150</v>
      </c>
      <c r="C6" s="4">
        <v>4.7</v>
      </c>
      <c r="D6" s="3" t="s">
        <v>234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H11"/>
  <sheetViews>
    <sheetView workbookViewId="0"/>
  </sheetViews>
  <sheetFormatPr defaultColWidth="12.5703125" defaultRowHeight="15.75" customHeight="1"/>
  <sheetData>
    <row r="1" spans="1:8" ht="15.75" customHeight="1">
      <c r="A1" s="1" t="s">
        <v>66</v>
      </c>
      <c r="B1" s="1" t="s">
        <v>88</v>
      </c>
      <c r="C1" s="1" t="s">
        <v>53</v>
      </c>
      <c r="D1" s="3"/>
      <c r="E1" s="43">
        <v>45894</v>
      </c>
      <c r="F1" s="3"/>
      <c r="G1" s="5" t="s">
        <v>66</v>
      </c>
      <c r="H1" s="5" t="s">
        <v>53</v>
      </c>
    </row>
    <row r="2" spans="1:8" ht="15.75" customHeight="1">
      <c r="A2" s="3" t="s">
        <v>238</v>
      </c>
      <c r="B2" s="43">
        <v>45863</v>
      </c>
      <c r="C2" s="39">
        <v>25000</v>
      </c>
      <c r="D2" s="3"/>
      <c r="E2" s="3"/>
      <c r="F2" s="3"/>
      <c r="G2" s="3" t="s">
        <v>239</v>
      </c>
      <c r="H2" s="39">
        <v>32000</v>
      </c>
    </row>
    <row r="3" spans="1:8" ht="15.75" customHeight="1">
      <c r="A3" s="3" t="s">
        <v>240</v>
      </c>
      <c r="B3" s="43">
        <v>45863</v>
      </c>
      <c r="C3" s="39">
        <v>18500</v>
      </c>
      <c r="D3" s="3"/>
      <c r="E3" s="3"/>
      <c r="F3" s="3"/>
      <c r="G3" s="3" t="s">
        <v>238</v>
      </c>
      <c r="H3" s="39">
        <v>30000</v>
      </c>
    </row>
    <row r="4" spans="1:8" ht="15.75" customHeight="1">
      <c r="A4" s="3" t="s">
        <v>241</v>
      </c>
      <c r="B4" s="43">
        <v>45863</v>
      </c>
      <c r="C4" s="39">
        <v>34200</v>
      </c>
      <c r="D4" s="3"/>
      <c r="E4" s="3"/>
      <c r="F4" s="3"/>
      <c r="G4" s="3" t="s">
        <v>241</v>
      </c>
      <c r="H4" s="39">
        <v>28000</v>
      </c>
    </row>
    <row r="5" spans="1:8" ht="15.75" customHeight="1">
      <c r="A5" s="3" t="s">
        <v>242</v>
      </c>
      <c r="B5" s="43">
        <v>45863</v>
      </c>
      <c r="C5" s="39">
        <v>12000</v>
      </c>
      <c r="D5" s="3"/>
      <c r="E5" s="3"/>
      <c r="F5" s="3"/>
      <c r="G5" s="3"/>
      <c r="H5" s="3"/>
    </row>
    <row r="6" spans="1:8" ht="15.75" customHeight="1">
      <c r="A6" s="3" t="s">
        <v>239</v>
      </c>
      <c r="B6" s="43">
        <v>45863</v>
      </c>
      <c r="C6" s="39">
        <v>21000</v>
      </c>
      <c r="D6" s="3"/>
      <c r="E6" s="3"/>
      <c r="F6" s="3"/>
      <c r="G6" s="3"/>
      <c r="H6" s="3"/>
    </row>
    <row r="7" spans="1:8" ht="15.75" customHeight="1">
      <c r="A7" s="3" t="s">
        <v>238</v>
      </c>
      <c r="B7" s="43">
        <v>45894</v>
      </c>
      <c r="C7" s="39">
        <v>30000</v>
      </c>
      <c r="D7" s="3"/>
      <c r="E7" s="3"/>
      <c r="F7" s="3"/>
      <c r="G7" s="3"/>
      <c r="H7" s="3"/>
    </row>
    <row r="8" spans="1:8" ht="15.75" customHeight="1">
      <c r="A8" s="3" t="s">
        <v>240</v>
      </c>
      <c r="B8" s="43">
        <v>45894</v>
      </c>
      <c r="C8" s="39">
        <v>26000</v>
      </c>
      <c r="D8" s="3"/>
      <c r="E8" s="3"/>
      <c r="F8" s="3"/>
      <c r="G8" s="3"/>
      <c r="H8" s="3"/>
    </row>
    <row r="9" spans="1:8" ht="15.75" customHeight="1">
      <c r="A9" s="3" t="s">
        <v>241</v>
      </c>
      <c r="B9" s="43">
        <v>45894</v>
      </c>
      <c r="C9" s="39">
        <v>28000</v>
      </c>
      <c r="D9" s="3"/>
      <c r="E9" s="3"/>
      <c r="F9" s="3"/>
      <c r="G9" s="3"/>
      <c r="H9" s="3"/>
    </row>
    <row r="10" spans="1:8" ht="15.75" customHeight="1">
      <c r="A10" s="3" t="s">
        <v>242</v>
      </c>
      <c r="B10" s="43">
        <v>45894</v>
      </c>
      <c r="C10" s="39">
        <v>15000</v>
      </c>
      <c r="D10" s="3"/>
      <c r="E10" s="3"/>
      <c r="F10" s="3"/>
      <c r="G10" s="3"/>
      <c r="H10" s="3"/>
    </row>
    <row r="11" spans="1:8" ht="15.75" customHeight="1">
      <c r="A11" s="3" t="s">
        <v>239</v>
      </c>
      <c r="B11" s="43">
        <v>45894</v>
      </c>
      <c r="C11" s="39">
        <v>32000</v>
      </c>
      <c r="D11" s="3"/>
      <c r="E11" s="3"/>
      <c r="F11" s="3"/>
      <c r="G11" s="3"/>
      <c r="H11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682B9A-81DC-442D-81A5-BB935AC719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73</vt:i4>
      </vt:variant>
      <vt:variant>
        <vt:lpstr>Nazwane zakresy</vt:lpstr>
      </vt:variant>
      <vt:variant>
        <vt:i4>1</vt:i4>
      </vt:variant>
    </vt:vector>
  </HeadingPairs>
  <TitlesOfParts>
    <vt:vector size="74" baseType="lpstr">
      <vt:lpstr>Day111</vt:lpstr>
      <vt:lpstr>Day110</vt:lpstr>
      <vt:lpstr>Day109</vt:lpstr>
      <vt:lpstr>Day108</vt:lpstr>
      <vt:lpstr>Day107</vt:lpstr>
      <vt:lpstr>Day106</vt:lpstr>
      <vt:lpstr>Day105</vt:lpstr>
      <vt:lpstr>Day104</vt:lpstr>
      <vt:lpstr>Day103</vt:lpstr>
      <vt:lpstr>Day102</vt:lpstr>
      <vt:lpstr>Day101</vt:lpstr>
      <vt:lpstr>Day100</vt:lpstr>
      <vt:lpstr>Day99</vt:lpstr>
      <vt:lpstr>Day98</vt:lpstr>
      <vt:lpstr>Day97</vt:lpstr>
      <vt:lpstr>Day96</vt:lpstr>
      <vt:lpstr>Day95</vt:lpstr>
      <vt:lpstr>Day94</vt:lpstr>
      <vt:lpstr>Day93</vt:lpstr>
      <vt:lpstr>Day92</vt:lpstr>
      <vt:lpstr>Day91</vt:lpstr>
      <vt:lpstr>Day90</vt:lpstr>
      <vt:lpstr>Day89</vt:lpstr>
      <vt:lpstr>Day88</vt:lpstr>
      <vt:lpstr>Day87</vt:lpstr>
      <vt:lpstr>Day86</vt:lpstr>
      <vt:lpstr>Day85</vt:lpstr>
      <vt:lpstr>Day84</vt:lpstr>
      <vt:lpstr>Day83</vt:lpstr>
      <vt:lpstr>Day82</vt:lpstr>
      <vt:lpstr>Day81</vt:lpstr>
      <vt:lpstr>Day80</vt:lpstr>
      <vt:lpstr>Day79</vt:lpstr>
      <vt:lpstr>Day78</vt:lpstr>
      <vt:lpstr>Day77</vt:lpstr>
      <vt:lpstr>Day76</vt:lpstr>
      <vt:lpstr>Day75</vt:lpstr>
      <vt:lpstr>Day74</vt:lpstr>
      <vt:lpstr>Day73</vt:lpstr>
      <vt:lpstr>Day72</vt:lpstr>
      <vt:lpstr>Day71</vt:lpstr>
      <vt:lpstr>Day70</vt:lpstr>
      <vt:lpstr>Day69</vt:lpstr>
      <vt:lpstr>Day68</vt:lpstr>
      <vt:lpstr>Day67</vt:lpstr>
      <vt:lpstr>Day66</vt:lpstr>
      <vt:lpstr>Day65</vt:lpstr>
      <vt:lpstr>Day64</vt:lpstr>
      <vt:lpstr>Day63</vt:lpstr>
      <vt:lpstr>Day62</vt:lpstr>
      <vt:lpstr>Day61</vt:lpstr>
      <vt:lpstr>Day60</vt:lpstr>
      <vt:lpstr>Day59</vt:lpstr>
      <vt:lpstr>Day58</vt:lpstr>
      <vt:lpstr>Day57</vt:lpstr>
      <vt:lpstr>Day56</vt:lpstr>
      <vt:lpstr>Day55</vt:lpstr>
      <vt:lpstr>Sheet18</vt:lpstr>
      <vt:lpstr>Day54</vt:lpstr>
      <vt:lpstr>Day53</vt:lpstr>
      <vt:lpstr>Day52</vt:lpstr>
      <vt:lpstr>Day51</vt:lpstr>
      <vt:lpstr>Day50</vt:lpstr>
      <vt:lpstr>Day49</vt:lpstr>
      <vt:lpstr>Day48</vt:lpstr>
      <vt:lpstr>Day47</vt:lpstr>
      <vt:lpstr>Day46</vt:lpstr>
      <vt:lpstr>Day45</vt:lpstr>
      <vt:lpstr>Day44</vt:lpstr>
      <vt:lpstr>Day43</vt:lpstr>
      <vt:lpstr>Day42</vt:lpstr>
      <vt:lpstr>Day41</vt:lpstr>
      <vt:lpstr>Day40</vt:lpstr>
      <vt:lpstr>rngStart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Maciej Kopczyński</cp:lastModifiedBy>
  <dcterms:modified xsi:type="dcterms:W3CDTF">2026-03-01T19:16:12Z</dcterms:modified>
</cp:coreProperties>
</file>