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== Github Repos/Challenges/Excel BI Challenges/Power Query/"/>
    </mc:Choice>
  </mc:AlternateContent>
  <xr:revisionPtr revIDLastSave="93" documentId="8_{C894F297-8021-4EC0-B921-2335B218B837}" xr6:coauthVersionLast="47" xr6:coauthVersionMax="47" xr10:uidLastSave="{3402761D-CBC4-4AF9-9D89-5A2D83B3840A}"/>
  <bookViews>
    <workbookView xWindow="25695" yWindow="0" windowWidth="26010" windowHeight="20985" xr2:uid="{00000000-000D-0000-FFFF-FFFF00000000}"/>
  </bookViews>
  <sheets>
    <sheet name="Sheet1" sheetId="1" r:id="rId1"/>
  </sheets>
  <definedNames>
    <definedName name="_xlnm._FilterDatabase" localSheetId="0" hidden="1">Sheet1!$A$1:$A$9</definedName>
    <definedName name="ExternalData_1" localSheetId="0" hidden="1">Sheet1!$G$1:$I$13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 a="1"/>
  <c r="K16" i="1" a="1"/>
  <c r="K2" i="1" a="1"/>
  <c r="O2" i="1" s="1" a="1"/>
  <c r="G16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77FFD7-5289-4F57-8E06-0AB069D24E15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xl(%P2%, headers = True)
l = []
df = df["Data"].str.split(", ").explode().reset_index(drop = True).to_frame(name = "Data")
df[["City", "State"]] = df["Data"].str.split(" - ", expand = True).apply(lambda x: x.str.strip())
group = df.groupby("State", as_index = False).agg(
    Capital = ("City", lambda x: x[x.str.contains("(C)", regex=False, na=False)].iloc[0].replace(" (C)", "") if not x[x.str.contains("(C)", regex=False, na=False)].empty else ""),
    Other_Cities = ("City", lambda x: ", ".join(x[~x.str.contains("(C)", regex=False, na=False)]) if not x[~x.str.contains("(C)", regex=False, na=False)].empty else "")
).rename(columns = {"Other_Cities": "Other Cities"}).reset_index(drop = True)
group</code>
    </pythonScript>
  </pythonScripts>
</python>
</file>

<file path=xl/sharedStrings.xml><?xml version="1.0" encoding="utf-8"?>
<sst xmlns="http://schemas.openxmlformats.org/spreadsheetml/2006/main" count="74" uniqueCount="39">
  <si>
    <t>Data</t>
  </si>
  <si>
    <t>State</t>
  </si>
  <si>
    <t>Capital</t>
  </si>
  <si>
    <t>Other Cities</t>
  </si>
  <si>
    <t>Atlanta (C) - Georgia, Miami - Florida</t>
  </si>
  <si>
    <t>Arizona</t>
  </si>
  <si>
    <t>Phoenix</t>
  </si>
  <si>
    <t>Tucson</t>
  </si>
  <si>
    <t>Houston - Texas, Lubbock - Texas</t>
  </si>
  <si>
    <t>California</t>
  </si>
  <si>
    <t>Sacramento</t>
  </si>
  <si>
    <t>Riverside, San Jose</t>
  </si>
  <si>
    <t>Sacramento (C) - California</t>
  </si>
  <si>
    <t>Delaware</t>
  </si>
  <si>
    <t>Dover</t>
  </si>
  <si>
    <t>Dover (C) - Delaware</t>
  </si>
  <si>
    <t>Florida</t>
  </si>
  <si>
    <t>Miami, Tampa</t>
  </si>
  <si>
    <t>Jefferson City (C) - Missouri, Phoenix (C) - Arizona</t>
  </si>
  <si>
    <t>Georgia</t>
  </si>
  <si>
    <t>Atlanta</t>
  </si>
  <si>
    <t>Tampa - Florida, Boise (C) - Idaho, Riverside - California</t>
  </si>
  <si>
    <t>Idaho</t>
  </si>
  <si>
    <t>Boise</t>
  </si>
  <si>
    <t>Las Vegas - Nevada, San Jose - California, Tucson - Arizona</t>
  </si>
  <si>
    <t>Missouri</t>
  </si>
  <si>
    <t>Salt Lake City (C) - Utah, Lincoln (C) - Nebraska,  Santa Fe (C) - New Mexico</t>
  </si>
  <si>
    <t>Nebraska</t>
  </si>
  <si>
    <t>Lincoln</t>
  </si>
  <si>
    <t>Nevada</t>
  </si>
  <si>
    <t>Las Vegas</t>
  </si>
  <si>
    <t>Santa Fe</t>
  </si>
  <si>
    <t>Texas</t>
  </si>
  <si>
    <t>Houston, Lubbock</t>
  </si>
  <si>
    <t>Utah</t>
  </si>
  <si>
    <t>Salt Lake City</t>
  </si>
  <si>
    <t/>
  </si>
  <si>
    <t>Jefferson City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</si>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</sst>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3" borderId="1" xfId="0" applyFont="1" applyFill="1" applyBorder="1"/>
    <xf numFmtId="0" fontId="1" fillId="3" borderId="3" xfId="0" applyFont="1" applyFill="1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1" fillId="3" borderId="7" xfId="0" applyFont="1" applyFill="1" applyBorder="1"/>
    <xf numFmtId="0" fontId="0" fillId="0" borderId="1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1" fillId="2" borderId="0" xfId="0" applyFont="1" applyFill="1" applyBorder="1"/>
    <xf numFmtId="0" fontId="1" fillId="3" borderId="0" xfId="0" applyFont="1" applyFill="1" applyBorder="1"/>
    <xf numFmtId="0" fontId="0" fillId="0" borderId="0" xfId="0" applyNumberFormat="1"/>
  </cellXfs>
  <cellStyles count="1">
    <cellStyle name="Normalny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Invisible" pivot="0" table="0" count="0" xr9:uid="{E35C7C73-BE76-45F6-9DA7-1D018E2928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4311650</xdr:colOff>
      <xdr:row>3</xdr:row>
      <xdr:rowOff>146050</xdr:rowOff>
    </xdr:from>
    <xdr:to>
      <xdr:col>1</xdr:col>
      <xdr:colOff>863600</xdr:colOff>
      <xdr:row>6</xdr:row>
      <xdr:rowOff>139700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1AEB7CA5-BA37-4C51-AA42-7E33E9138F05}"/>
            </a:ext>
          </a:extLst>
        </xdr:cNvPr>
        <xdr:cNvSpPr/>
      </xdr:nvSpPr>
      <xdr:spPr>
        <a:xfrm>
          <a:off x="4311650" y="698500"/>
          <a:ext cx="94615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0</xdr:col>
      <xdr:colOff>4273550</xdr:colOff>
      <xdr:row>1</xdr:row>
      <xdr:rowOff>50800</xdr:rowOff>
    </xdr:from>
    <xdr:to>
      <xdr:col>1</xdr:col>
      <xdr:colOff>857250</xdr:colOff>
      <xdr:row>4</xdr:row>
      <xdr:rowOff>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7C0411B2-247E-418C-90B4-DF8D93362A8D}"/>
            </a:ext>
          </a:extLst>
        </xdr:cNvPr>
        <xdr:cNvSpPr/>
      </xdr:nvSpPr>
      <xdr:spPr>
        <a:xfrm>
          <a:off x="4273550" y="234950"/>
          <a:ext cx="97790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0</xdr:col>
      <xdr:colOff>279400</xdr:colOff>
      <xdr:row>12</xdr:row>
      <xdr:rowOff>158750</xdr:rowOff>
    </xdr:from>
    <xdr:to>
      <xdr:col>0</xdr:col>
      <xdr:colOff>3625850</xdr:colOff>
      <xdr:row>18</xdr:row>
      <xdr:rowOff>6350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3A4F68D-FDE3-1D9D-2472-B384FBFA4A25}"/>
            </a:ext>
          </a:extLst>
        </xdr:cNvPr>
        <xdr:cNvSpPr/>
      </xdr:nvSpPr>
      <xdr:spPr>
        <a:xfrm>
          <a:off x="279400" y="2368550"/>
          <a:ext cx="3346450" cy="9525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each State, extract capital city in one column and non-capital cities in another. Capital city is denoted by (C).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1</xdr:col>
      <xdr:colOff>374650</xdr:colOff>
      <xdr:row>21</xdr:row>
      <xdr:rowOff>95250</xdr:rowOff>
    </xdr:from>
    <xdr:to>
      <xdr:col>2</xdr:col>
      <xdr:colOff>552450</xdr:colOff>
      <xdr:row>23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C197F5C-5270-4610-8FD0-06E9B78E2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68850" y="3962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EC56D0-F536-431F-ABDB-9722CB696D46}" autoFormatId="16" applyNumberFormats="0" applyBorderFormats="0" applyFontFormats="0" applyPatternFormats="0" applyAlignmentFormats="0" applyWidthHeightFormats="0">
  <queryTableRefresh nextId="4">
    <queryTableFields count="3">
      <queryTableField id="1" name="State" tableColumnId="1"/>
      <queryTableField id="2" name="Capital" tableColumnId="2"/>
      <queryTableField id="3" name="Other Cities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5D171A-DD04-48FB-A06B-9B22A5DF3C44}" name="tblStart" displayName="tblStart" ref="A1:A9" totalsRowShown="0" headerRowDxfId="3" tableBorderDxfId="5">
  <autoFilter ref="A1:A9" xr:uid="{EB5D171A-DD04-48FB-A06B-9B22A5DF3C44}"/>
  <tableColumns count="1">
    <tableColumn id="1" xr3:uid="{EA565BAA-5286-4F31-A71A-D11009B234B5}" name="Data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19E94D-EE0C-48C0-953F-3F42CFE6058F}" name="tblSolution" displayName="tblSolution" ref="G1:I13" tableType="queryTable" totalsRowShown="0">
  <autoFilter ref="G1:I13" xr:uid="{E719E94D-EE0C-48C0-953F-3F42CFE6058F}"/>
  <tableColumns count="3">
    <tableColumn id="1" xr3:uid="{4A0230F4-B3CC-4F32-A154-6F8A67457249}" uniqueName="1" name="State" queryTableFieldId="1" dataDxfId="2"/>
    <tableColumn id="2" xr3:uid="{EA63F0C9-D3F3-4588-840A-F94FD818768E}" uniqueName="2" name="Capital" queryTableFieldId="2" dataDxfId="1"/>
    <tableColumn id="3" xr3:uid="{23136347-6873-4AEC-A6D3-E768FDD22B9F}" uniqueName="3" name="Other Cities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workbookViewId="0">
      <selection activeCell="E12" sqref="E12"/>
    </sheetView>
  </sheetViews>
  <sheetFormatPr defaultRowHeight="15" x14ac:dyDescent="0.25"/>
  <cols>
    <col min="1" max="1" width="62.85546875" bestFit="1" customWidth="1"/>
    <col min="2" max="2" width="13.7109375" customWidth="1"/>
    <col min="3" max="3" width="11.5703125" bestFit="1" customWidth="1"/>
    <col min="4" max="4" width="13.7109375" bestFit="1" customWidth="1"/>
    <col min="5" max="5" width="18" bestFit="1" customWidth="1"/>
    <col min="7" max="7" width="12" bestFit="1" customWidth="1"/>
    <col min="8" max="8" width="13.28515625" bestFit="1" customWidth="1"/>
    <col min="9" max="9" width="18" bestFit="1" customWidth="1"/>
    <col min="11" max="11" width="25.85546875" bestFit="1" customWidth="1"/>
  </cols>
  <sheetData>
    <row r="1" spans="1:17" x14ac:dyDescent="0.25">
      <c r="A1" s="13" t="s">
        <v>0</v>
      </c>
      <c r="B1" s="1"/>
      <c r="C1" s="2" t="s">
        <v>1</v>
      </c>
      <c r="D1" s="3" t="s">
        <v>2</v>
      </c>
      <c r="E1" s="7" t="s">
        <v>3</v>
      </c>
      <c r="G1" s="14" t="s">
        <v>1</v>
      </c>
      <c r="H1" t="s">
        <v>2</v>
      </c>
      <c r="I1" t="s">
        <v>3</v>
      </c>
    </row>
    <row r="2" spans="1:17" x14ac:dyDescent="0.25">
      <c r="A2" s="12" t="s">
        <v>4</v>
      </c>
      <c r="C2" s="8" t="s">
        <v>5</v>
      </c>
      <c r="D2" s="5" t="s">
        <v>6</v>
      </c>
      <c r="E2" s="9" t="s">
        <v>7</v>
      </c>
      <c r="G2" s="15" t="s">
        <v>5</v>
      </c>
      <c r="H2" s="15" t="s">
        <v>6</v>
      </c>
      <c r="I2" s="15" t="s">
        <v>7</v>
      </c>
      <c r="K2" t="str" cm="1">
        <f t="array" ref="K2:M14">_xlfn.LET(
_xlpm._data_, tblStart[Data],
_xlpm._red_, _xlfn.DROP(_xlfn.REDUCE("",_xlpm._data_, _xlfn.LAMBDA(_xlpm.s,_xlpm.c, _xlfn.VSTACK(_xlpm.s, _xlfn.TEXTSPLIT(_xlpm.c,,",",1)))), 1),
_xlpm._trim_, TRIM(_xlpm._red_),
_xlpm._state_, _xlfn.TEXTAFTER(_xlpm._trim_, " - "),
_xlpm._city_, _xlfn.TEXTBEFORE(_xlpm._trim_, " - "),
_xlpm._group_, _xlfn.GROUPBY(_xlpm._state_, _xlpm._city_, _xlfn.HSTACK(_xlfn.LAMBDA(_xlpm.c, IFERROR(SUBSTITUTE(_xlfn.SINGLE((_xlfn._xlws.FILTER(_xlpm.c, ISNUMBER(FIND("(C)", _xlpm.c)))))," (C)", ""), "")), _xlfn.LAMBDA(_xlpm.c, _xlfn.TEXTJOIN(", ",, _xlfn._xlws.FILTER(_xlpm.c, NOT(ISNUMBER(FIND("(C)", _xlpm.c))), "")))),0,0),
_xlpm._headers_, {"State","Capital","Other Cities"},
_xlpm._sol_, _xlfn.VSTACK(_xlpm._headers_, _xlfn.DROP(_xlpm._group_, 1)),
_xlpm._sol_)</f>
        <v>State</v>
      </c>
      <c r="L2" t="str">
        <v>Capital</v>
      </c>
      <c r="M2" t="str">
        <v>Other Cities</v>
      </c>
      <c r="O2" t="b" cm="1">
        <f t="array" ref="O2:Q14">_xlfn.ANCHORARRAY(K2)=tblSolution[#All]</f>
        <v>1</v>
      </c>
      <c r="P2" t="b">
        <v>1</v>
      </c>
      <c r="Q2" t="b">
        <v>1</v>
      </c>
    </row>
    <row r="3" spans="1:17" x14ac:dyDescent="0.25">
      <c r="A3" s="12" t="s">
        <v>8</v>
      </c>
      <c r="C3" s="8" t="s">
        <v>9</v>
      </c>
      <c r="D3" s="5" t="s">
        <v>10</v>
      </c>
      <c r="E3" s="9" t="s">
        <v>11</v>
      </c>
      <c r="G3" s="15" t="s">
        <v>9</v>
      </c>
      <c r="H3" s="15" t="s">
        <v>10</v>
      </c>
      <c r="I3" s="15" t="s">
        <v>11</v>
      </c>
      <c r="K3" t="str">
        <v>Arizona</v>
      </c>
      <c r="L3" t="str">
        <v>Phoenix</v>
      </c>
      <c r="M3" t="str">
        <v>Tucson</v>
      </c>
      <c r="O3" t="b">
        <v>1</v>
      </c>
      <c r="P3" t="b">
        <v>1</v>
      </c>
      <c r="Q3" t="b">
        <v>1</v>
      </c>
    </row>
    <row r="4" spans="1:17" x14ac:dyDescent="0.25">
      <c r="A4" s="12" t="s">
        <v>12</v>
      </c>
      <c r="C4" s="8" t="s">
        <v>13</v>
      </c>
      <c r="D4" s="5" t="s">
        <v>14</v>
      </c>
      <c r="E4" s="9"/>
      <c r="G4" s="15" t="s">
        <v>13</v>
      </c>
      <c r="H4" s="15" t="s">
        <v>14</v>
      </c>
      <c r="I4" s="15" t="s">
        <v>36</v>
      </c>
      <c r="K4" t="str">
        <v>California</v>
      </c>
      <c r="L4" t="str">
        <v>Sacramento</v>
      </c>
      <c r="M4" t="str">
        <v>Riverside, San Jose</v>
      </c>
      <c r="O4" t="b">
        <v>1</v>
      </c>
      <c r="P4" t="b">
        <v>1</v>
      </c>
      <c r="Q4" t="b">
        <v>1</v>
      </c>
    </row>
    <row r="5" spans="1:17" x14ac:dyDescent="0.25">
      <c r="A5" s="12" t="s">
        <v>15</v>
      </c>
      <c r="C5" s="8" t="s">
        <v>16</v>
      </c>
      <c r="D5" s="5"/>
      <c r="E5" s="9" t="s">
        <v>17</v>
      </c>
      <c r="G5" s="15" t="s">
        <v>16</v>
      </c>
      <c r="H5" s="15"/>
      <c r="I5" s="15" t="s">
        <v>17</v>
      </c>
      <c r="K5" t="str">
        <v>Delaware</v>
      </c>
      <c r="L5" t="str">
        <v>Dover</v>
      </c>
      <c r="M5" t="str">
        <v/>
      </c>
      <c r="O5" t="b">
        <v>1</v>
      </c>
      <c r="P5" t="b">
        <v>1</v>
      </c>
      <c r="Q5" t="b">
        <v>1</v>
      </c>
    </row>
    <row r="6" spans="1:17" x14ac:dyDescent="0.25">
      <c r="A6" s="12" t="s">
        <v>18</v>
      </c>
      <c r="C6" s="8" t="s">
        <v>19</v>
      </c>
      <c r="D6" s="5" t="s">
        <v>20</v>
      </c>
      <c r="E6" s="9"/>
      <c r="G6" s="15" t="s">
        <v>19</v>
      </c>
      <c r="H6" s="15" t="s">
        <v>20</v>
      </c>
      <c r="I6" s="15" t="s">
        <v>36</v>
      </c>
      <c r="K6" t="str">
        <v>Florida</v>
      </c>
      <c r="L6" t="str">
        <v/>
      </c>
      <c r="M6" t="str">
        <v>Miami, Tampa</v>
      </c>
      <c r="O6" t="b">
        <v>1</v>
      </c>
      <c r="P6" t="b">
        <v>1</v>
      </c>
      <c r="Q6" t="b">
        <v>1</v>
      </c>
    </row>
    <row r="7" spans="1:17" x14ac:dyDescent="0.25">
      <c r="A7" s="12" t="s">
        <v>21</v>
      </c>
      <c r="C7" s="8" t="s">
        <v>22</v>
      </c>
      <c r="D7" s="5" t="s">
        <v>23</v>
      </c>
      <c r="E7" s="9"/>
      <c r="G7" s="15" t="s">
        <v>22</v>
      </c>
      <c r="H7" s="15" t="s">
        <v>23</v>
      </c>
      <c r="I7" s="15" t="s">
        <v>36</v>
      </c>
      <c r="K7" t="str">
        <v>Georgia</v>
      </c>
      <c r="L7" t="str">
        <v>Atlanta</v>
      </c>
      <c r="M7" t="str">
        <v/>
      </c>
      <c r="O7" t="b">
        <v>1</v>
      </c>
      <c r="P7" t="b">
        <v>1</v>
      </c>
      <c r="Q7" t="b">
        <v>1</v>
      </c>
    </row>
    <row r="8" spans="1:17" x14ac:dyDescent="0.25">
      <c r="A8" s="12" t="s">
        <v>24</v>
      </c>
      <c r="C8" s="8" t="s">
        <v>25</v>
      </c>
      <c r="D8" s="5" t="s">
        <v>37</v>
      </c>
      <c r="E8" s="9"/>
      <c r="G8" s="15" t="s">
        <v>25</v>
      </c>
      <c r="H8" s="15" t="s">
        <v>37</v>
      </c>
      <c r="I8" s="15" t="s">
        <v>36</v>
      </c>
      <c r="K8" t="str">
        <v>Idaho</v>
      </c>
      <c r="L8" t="str">
        <v>Boise</v>
      </c>
      <c r="M8" t="str">
        <v/>
      </c>
      <c r="O8" t="b">
        <v>1</v>
      </c>
      <c r="P8" t="b">
        <v>1</v>
      </c>
      <c r="Q8" t="b">
        <v>1</v>
      </c>
    </row>
    <row r="9" spans="1:17" x14ac:dyDescent="0.25">
      <c r="A9" s="12" t="s">
        <v>26</v>
      </c>
      <c r="C9" s="8" t="s">
        <v>27</v>
      </c>
      <c r="D9" s="5" t="s">
        <v>28</v>
      </c>
      <c r="E9" s="9"/>
      <c r="G9" s="15" t="s">
        <v>27</v>
      </c>
      <c r="H9" s="15" t="s">
        <v>28</v>
      </c>
      <c r="I9" s="15" t="s">
        <v>36</v>
      </c>
      <c r="K9" t="str">
        <v>Missouri</v>
      </c>
      <c r="L9" t="str">
        <v>Jefferson City</v>
      </c>
      <c r="M9" t="str">
        <v/>
      </c>
      <c r="O9" t="b">
        <v>1</v>
      </c>
      <c r="P9" t="b">
        <v>1</v>
      </c>
      <c r="Q9" t="b">
        <v>1</v>
      </c>
    </row>
    <row r="10" spans="1:17" x14ac:dyDescent="0.25">
      <c r="C10" s="8" t="s">
        <v>29</v>
      </c>
      <c r="D10" s="5"/>
      <c r="E10" s="9" t="s">
        <v>30</v>
      </c>
      <c r="G10" s="15" t="s">
        <v>29</v>
      </c>
      <c r="H10" s="15"/>
      <c r="I10" s="15" t="s">
        <v>30</v>
      </c>
      <c r="K10" t="str">
        <v>Nebraska</v>
      </c>
      <c r="L10" t="str">
        <v>Lincoln</v>
      </c>
      <c r="M10" t="str">
        <v/>
      </c>
      <c r="O10" t="b">
        <v>1</v>
      </c>
      <c r="P10" t="b">
        <v>1</v>
      </c>
      <c r="Q10" t="b">
        <v>1</v>
      </c>
    </row>
    <row r="11" spans="1:17" x14ac:dyDescent="0.25">
      <c r="C11" s="8" t="s">
        <v>38</v>
      </c>
      <c r="D11" s="5" t="s">
        <v>31</v>
      </c>
      <c r="E11" s="9"/>
      <c r="G11" s="15" t="s">
        <v>38</v>
      </c>
      <c r="H11" s="15" t="s">
        <v>31</v>
      </c>
      <c r="I11" s="15" t="s">
        <v>36</v>
      </c>
      <c r="K11" t="str">
        <v>Nevada</v>
      </c>
      <c r="L11" t="str">
        <v/>
      </c>
      <c r="M11" t="str">
        <v>Las Vegas</v>
      </c>
      <c r="O11" t="b">
        <v>1</v>
      </c>
      <c r="P11" t="b">
        <v>1</v>
      </c>
      <c r="Q11" t="b">
        <v>1</v>
      </c>
    </row>
    <row r="12" spans="1:17" x14ac:dyDescent="0.25">
      <c r="C12" s="8" t="s">
        <v>32</v>
      </c>
      <c r="D12" s="5"/>
      <c r="E12" s="4" t="s">
        <v>33</v>
      </c>
      <c r="G12" s="15" t="s">
        <v>32</v>
      </c>
      <c r="H12" s="15"/>
      <c r="I12" s="15" t="s">
        <v>33</v>
      </c>
      <c r="K12" t="str">
        <v>New Mexico</v>
      </c>
      <c r="L12" t="str">
        <v>Santa Fe</v>
      </c>
      <c r="M12" t="str">
        <v/>
      </c>
      <c r="O12" t="b">
        <v>1</v>
      </c>
      <c r="P12" t="b">
        <v>1</v>
      </c>
      <c r="Q12" t="b">
        <v>1</v>
      </c>
    </row>
    <row r="13" spans="1:17" x14ac:dyDescent="0.25">
      <c r="C13" s="10" t="s">
        <v>34</v>
      </c>
      <c r="D13" s="11" t="s">
        <v>35</v>
      </c>
      <c r="E13" s="6"/>
      <c r="G13" s="15" t="s">
        <v>34</v>
      </c>
      <c r="H13" s="15" t="s">
        <v>35</v>
      </c>
      <c r="I13" s="15" t="s">
        <v>36</v>
      </c>
      <c r="K13" t="str">
        <v>Texas</v>
      </c>
      <c r="L13" t="str">
        <v/>
      </c>
      <c r="M13" t="str">
        <v>Houston, Lubbock</v>
      </c>
      <c r="O13" t="b">
        <v>1</v>
      </c>
      <c r="P13" t="b">
        <v>1</v>
      </c>
      <c r="Q13" t="b">
        <v>1</v>
      </c>
    </row>
    <row r="14" spans="1:17" x14ac:dyDescent="0.25">
      <c r="K14" t="str">
        <v>Utah</v>
      </c>
      <c r="L14" t="str">
        <v>Salt Lake City</v>
      </c>
      <c r="M14" t="str">
        <v/>
      </c>
      <c r="O14" t="b">
        <v>1</v>
      </c>
      <c r="P14" t="b">
        <v>1</v>
      </c>
      <c r="Q14" t="b">
        <v>1</v>
      </c>
    </row>
    <row r="16" spans="1:17" x14ac:dyDescent="0.25">
      <c r="G16" t="b" cm="1">
        <f t="array" ref="G16:I28">tblSolution[#All]=C1:E13</f>
        <v>1</v>
      </c>
      <c r="H16" t="b">
        <v>1</v>
      </c>
      <c r="I16" t="b">
        <v>1</v>
      </c>
      <c r="K16" t="str" cm="1">
        <f t="array" ref="K16:M28">_xlfn._xlws.PY(0,0,A1:A9)</f>
        <v>State</v>
      </c>
      <c r="L16" t="str">
        <v>Capital</v>
      </c>
      <c r="M16" t="str">
        <v>Other Cities</v>
      </c>
      <c r="O16" t="b" cm="1">
        <f t="array" ref="O16:Q28">_xlfn.ANCHORARRAY(K16)=tblSolution[#All]</f>
        <v>1</v>
      </c>
      <c r="P16" t="b">
        <v>1</v>
      </c>
      <c r="Q16" t="b">
        <v>1</v>
      </c>
    </row>
    <row r="17" spans="7:17" x14ac:dyDescent="0.25">
      <c r="G17" t="b">
        <v>1</v>
      </c>
      <c r="H17" t="b">
        <v>1</v>
      </c>
      <c r="I17" t="b">
        <v>1</v>
      </c>
      <c r="K17" t="str">
        <v>Arizona</v>
      </c>
      <c r="L17" t="str">
        <v>Phoenix</v>
      </c>
      <c r="M17" t="str">
        <v>Tucson</v>
      </c>
      <c r="O17" t="b">
        <v>1</v>
      </c>
      <c r="P17" t="b">
        <v>1</v>
      </c>
      <c r="Q17" t="b">
        <v>1</v>
      </c>
    </row>
    <row r="18" spans="7:17" x14ac:dyDescent="0.25">
      <c r="G18" t="b">
        <v>1</v>
      </c>
      <c r="H18" t="b">
        <v>1</v>
      </c>
      <c r="I18" t="b">
        <v>1</v>
      </c>
      <c r="K18" t="str">
        <v>California</v>
      </c>
      <c r="L18" t="str">
        <v>Sacramento</v>
      </c>
      <c r="M18" t="str">
        <v>Riverside, San Jose</v>
      </c>
      <c r="O18" t="b">
        <v>1</v>
      </c>
      <c r="P18" t="b">
        <v>1</v>
      </c>
      <c r="Q18" t="b">
        <v>1</v>
      </c>
    </row>
    <row r="19" spans="7:17" x14ac:dyDescent="0.25">
      <c r="G19" t="b">
        <v>1</v>
      </c>
      <c r="H19" t="b">
        <v>1</v>
      </c>
      <c r="I19" t="b">
        <v>1</v>
      </c>
      <c r="K19" t="str">
        <v>Delaware</v>
      </c>
      <c r="L19" t="str">
        <v>Dover</v>
      </c>
      <c r="M19" t="str">
        <v/>
      </c>
      <c r="O19" t="b">
        <v>1</v>
      </c>
      <c r="P19" t="b">
        <v>1</v>
      </c>
      <c r="Q19" t="b">
        <v>1</v>
      </c>
    </row>
    <row r="20" spans="7:17" x14ac:dyDescent="0.25">
      <c r="G20" t="b">
        <v>1</v>
      </c>
      <c r="H20" t="b">
        <v>1</v>
      </c>
      <c r="I20" t="b">
        <v>1</v>
      </c>
      <c r="K20" t="str">
        <v>Florida</v>
      </c>
      <c r="L20" t="str">
        <v/>
      </c>
      <c r="M20" t="str">
        <v>Miami, Tampa</v>
      </c>
      <c r="O20" t="b">
        <v>1</v>
      </c>
      <c r="P20" t="b">
        <v>1</v>
      </c>
      <c r="Q20" t="b">
        <v>1</v>
      </c>
    </row>
    <row r="21" spans="7:17" x14ac:dyDescent="0.25">
      <c r="G21" t="b">
        <v>1</v>
      </c>
      <c r="H21" t="b">
        <v>1</v>
      </c>
      <c r="I21" t="b">
        <v>1</v>
      </c>
      <c r="K21" t="str">
        <v>Georgia</v>
      </c>
      <c r="L21" t="str">
        <v>Atlanta</v>
      </c>
      <c r="M21" t="str">
        <v/>
      </c>
      <c r="O21" t="b">
        <v>1</v>
      </c>
      <c r="P21" t="b">
        <v>1</v>
      </c>
      <c r="Q21" t="b">
        <v>1</v>
      </c>
    </row>
    <row r="22" spans="7:17" x14ac:dyDescent="0.25">
      <c r="G22" t="b">
        <v>1</v>
      </c>
      <c r="H22" t="b">
        <v>1</v>
      </c>
      <c r="I22" t="b">
        <v>1</v>
      </c>
      <c r="K22" t="str">
        <v>Idaho</v>
      </c>
      <c r="L22" t="str">
        <v>Boise</v>
      </c>
      <c r="M22" t="str">
        <v/>
      </c>
      <c r="O22" t="b">
        <v>1</v>
      </c>
      <c r="P22" t="b">
        <v>1</v>
      </c>
      <c r="Q22" t="b">
        <v>1</v>
      </c>
    </row>
    <row r="23" spans="7:17" x14ac:dyDescent="0.25">
      <c r="G23" t="b">
        <v>1</v>
      </c>
      <c r="H23" t="b">
        <v>1</v>
      </c>
      <c r="I23" t="b">
        <v>1</v>
      </c>
      <c r="K23" t="str">
        <v>Missouri</v>
      </c>
      <c r="L23" t="str">
        <v>Jefferson City</v>
      </c>
      <c r="M23" t="str">
        <v/>
      </c>
      <c r="O23" t="b">
        <v>1</v>
      </c>
      <c r="P23" t="b">
        <v>1</v>
      </c>
      <c r="Q23" t="b">
        <v>1</v>
      </c>
    </row>
    <row r="24" spans="7:17" x14ac:dyDescent="0.25">
      <c r="G24" t="b">
        <v>1</v>
      </c>
      <c r="H24" t="b">
        <v>1</v>
      </c>
      <c r="I24" t="b">
        <v>1</v>
      </c>
      <c r="K24" t="str">
        <v>Nebraska</v>
      </c>
      <c r="L24" t="str">
        <v>Lincoln</v>
      </c>
      <c r="M24" t="str">
        <v/>
      </c>
      <c r="O24" t="b">
        <v>1</v>
      </c>
      <c r="P24" t="b">
        <v>1</v>
      </c>
      <c r="Q24" t="b">
        <v>1</v>
      </c>
    </row>
    <row r="25" spans="7:17" x14ac:dyDescent="0.25">
      <c r="G25" t="b">
        <v>1</v>
      </c>
      <c r="H25" t="b">
        <v>1</v>
      </c>
      <c r="I25" t="b">
        <v>1</v>
      </c>
      <c r="K25" t="str">
        <v>Nevada</v>
      </c>
      <c r="L25" t="str">
        <v/>
      </c>
      <c r="M25" t="str">
        <v>Las Vegas</v>
      </c>
      <c r="O25" t="b">
        <v>1</v>
      </c>
      <c r="P25" t="b">
        <v>1</v>
      </c>
      <c r="Q25" t="b">
        <v>1</v>
      </c>
    </row>
    <row r="26" spans="7:17" x14ac:dyDescent="0.25">
      <c r="G26" t="b">
        <v>1</v>
      </c>
      <c r="H26" t="b">
        <v>1</v>
      </c>
      <c r="I26" t="b">
        <v>1</v>
      </c>
      <c r="K26" t="str">
        <v>New Mexico</v>
      </c>
      <c r="L26" t="str">
        <v>Santa Fe</v>
      </c>
      <c r="M26" t="str">
        <v/>
      </c>
      <c r="O26" t="b">
        <v>1</v>
      </c>
      <c r="P26" t="b">
        <v>1</v>
      </c>
      <c r="Q26" t="b">
        <v>1</v>
      </c>
    </row>
    <row r="27" spans="7:17" x14ac:dyDescent="0.25">
      <c r="G27" t="b">
        <v>1</v>
      </c>
      <c r="H27" t="b">
        <v>1</v>
      </c>
      <c r="I27" t="b">
        <v>1</v>
      </c>
      <c r="K27" t="str">
        <v>Texas</v>
      </c>
      <c r="L27" t="str">
        <v/>
      </c>
      <c r="M27" t="str">
        <v>Houston, Lubbock</v>
      </c>
      <c r="O27" t="b">
        <v>1</v>
      </c>
      <c r="P27" t="b">
        <v>1</v>
      </c>
      <c r="Q27" t="b">
        <v>1</v>
      </c>
    </row>
    <row r="28" spans="7:17" x14ac:dyDescent="0.25">
      <c r="G28" t="b">
        <v>1</v>
      </c>
      <c r="H28" t="b">
        <v>1</v>
      </c>
      <c r="I28" t="b">
        <v>1</v>
      </c>
      <c r="K28" t="str">
        <v>Utah</v>
      </c>
      <c r="L28" t="str">
        <v>Salt Lake City</v>
      </c>
      <c r="M28" t="str">
        <v/>
      </c>
      <c r="O28" t="b">
        <v>1</v>
      </c>
      <c r="P28" t="b">
        <v>1</v>
      </c>
      <c r="Q28" t="b">
        <v>1</v>
      </c>
    </row>
  </sheetData>
  <sortState xmlns:xlrd2="http://schemas.microsoft.com/office/spreadsheetml/2017/richdata2" ref="G2:I13">
    <sortCondition ref="G1:G13"/>
  </sortState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927276-1D14-422A-9C7E-90400A20E3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2026-05-12T16:15:14Z</dcterms:modified>
  <cp:category/>
  <cp:contentStatus/>
</cp:coreProperties>
</file>