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05" documentId="8_{FBF0CFE7-21E4-4A18-8146-97989B897427}" xr6:coauthVersionLast="47" xr6:coauthVersionMax="47" xr10:uidLastSave="{4686183D-5C8F-4133-9227-3BD197D628B7}"/>
  <bookViews>
    <workbookView xWindow="25695" yWindow="0" windowWidth="26010" windowHeight="20985" xr2:uid="{00000000-000D-0000-FFFF-FFFF00000000}"/>
  </bookViews>
  <sheets>
    <sheet name="369" sheetId="1" r:id="rId1"/>
  </sheets>
  <definedNames>
    <definedName name="_xlnm._FilterDatabase" localSheetId="0" hidden="1">'369'!$A$1:$A$21</definedName>
    <definedName name="ExternalData_1" localSheetId="0" hidden="1">'369'!$G$1:$I$4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 a="1"/>
  <c r="G13" i="1" a="1"/>
  <c r="G6" i="1" a="1"/>
  <c r="G6" i="1" s="1"/>
  <c r="G31" i="1" l="1" a="1"/>
  <c r="G25" i="1"/>
  <c r="G13" i="1"/>
  <c r="G18" i="1" a="1"/>
  <c r="G18" i="1" s="1"/>
  <c r="G3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2156B-371F-4C96-9FCA-AB8791AFE2C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 True)
headers_o = df.columns[0].split(",")
df[headers_o] = df[df.columns[0]].str.split(",", expand=True)
df = df.drop(columns = [df.columns[0]])
df["Value"] = df.apply(
lambda x: x["OldValue"] if x["NewValue"] is None else x["NewValue"], axis = 1)
df["CreatedDate"] = pd.to_datetime(df["CreatedDate"])
df = df.sort_values("CreatedDate")
df = df.groupby("ParentId").agg(
    Status_Path = ("Value", lambda x: " &gt; ".join(x)),
    Lifecycle_Days = ("CreatedDate", lambda x: max(x) - min(x))).reset_index().rename(columns = lambda x: x.replace("_", " "))
df</code>
    </pythonScript>
  </pythonScripts>
</python>
</file>

<file path=xl/sharedStrings.xml><?xml version="1.0" encoding="utf-8"?>
<sst xmlns="http://schemas.openxmlformats.org/spreadsheetml/2006/main" count="39" uniqueCount="30">
  <si>
    <t>HxId,ParentId,CreatedDate,OldValue,NewValue</t>
  </si>
  <si>
    <t>ParentId</t>
  </si>
  <si>
    <t>Status Path</t>
  </si>
  <si>
    <t>Lifecycle Days</t>
  </si>
  <si>
    <t>H001,APP-101,2024-01-01,Created</t>
  </si>
  <si>
    <t>APP-101</t>
  </si>
  <si>
    <t>Created &gt; Submitted &gt; In Review &gt; Response Required &gt; Submitted &gt; In Review &gt; Approved &gt; Closed</t>
  </si>
  <si>
    <t>H002,APP-101,2024-01-02,Created,Submitted</t>
  </si>
  <si>
    <t>APP-102</t>
  </si>
  <si>
    <t>Created &gt; Submitted &gt; In Review &gt; Rejected &gt; Archived</t>
  </si>
  <si>
    <t>H003,APP-101,2024-01-05,Submitted,In Review</t>
  </si>
  <si>
    <t>APP-103</t>
  </si>
  <si>
    <t>Created &gt; Draft &gt; Submitted &gt; In Review &gt; On Hold &gt; In Review &gt; Approved</t>
  </si>
  <si>
    <t>H004,APP-101,2024-01-08,In Review,Response Required</t>
  </si>
  <si>
    <t>H005,APP-101,2024-01-10,Response Required,Submitted</t>
  </si>
  <si>
    <t>H006,APP-101,2024-01-12,Submitted,In Review</t>
  </si>
  <si>
    <t>H007,APP-101,2024-01-15,In Review,Approved</t>
  </si>
  <si>
    <t>H008,APP-101,2024-01-20,Approved,Closed</t>
  </si>
  <si>
    <t>H009,APP-102,2024-02-01,Created</t>
  </si>
  <si>
    <t>H010,APP-102,2024-02-03,Created,Submitted</t>
  </si>
  <si>
    <t>H011,APP-102,2024-02-04,Submitted,In Review</t>
  </si>
  <si>
    <t>H012,APP-102,2024-02-08,In Review,Rejected</t>
  </si>
  <si>
    <t>H013,APP-102,2024-02-10,Rejected,Archived</t>
  </si>
  <si>
    <t>H014,APP-103,2024-03-01,Created</t>
  </si>
  <si>
    <t>H015,APP-103,2024-03-02,Created,Draft</t>
  </si>
  <si>
    <t>H016,APP-103,2024-03-05,Draft,Submitted</t>
  </si>
  <si>
    <t>H017,APP-103,2024-03-10,Submitted,In Review</t>
  </si>
  <si>
    <t>H018,APP-103,2024-03-12,In Review,On Hold</t>
  </si>
  <si>
    <t>H019,APP-103,2024-03-20,On Hold,In Review</t>
  </si>
  <si>
    <t>H020,APP-103,2024-03-22,In Review,Approved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</si>
</sst>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4" xfId="0" applyBorder="1"/>
    <xf numFmtId="0" fontId="1" fillId="3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1" fontId="0" fillId="0" borderId="3" xfId="0" applyNumberFormat="1" applyBorder="1"/>
    <xf numFmtId="0" fontId="0" fillId="0" borderId="5" xfId="0" applyBorder="1" applyAlignment="1">
      <alignment wrapText="1"/>
    </xf>
    <xf numFmtId="1" fontId="0" fillId="0" borderId="6" xfId="0" applyNumberFormat="1" applyBorder="1"/>
    <xf numFmtId="0" fontId="0" fillId="0" borderId="7" xfId="0" applyBorder="1"/>
    <xf numFmtId="0" fontId="1" fillId="2" borderId="0" xfId="0" applyFont="1" applyFill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Invisible" pivot="0" table="0" count="0" xr9:uid="{B66F634E-6F0C-4C24-925A-BB67C469B4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23/09/relationships/Python" Target="python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57150</xdr:rowOff>
    </xdr:from>
    <xdr:to>
      <xdr:col>3</xdr:col>
      <xdr:colOff>2066925</xdr:colOff>
      <xdr:row>9</xdr:row>
      <xdr:rowOff>101600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9E57061-CFAE-5264-B64B-F1698D368D33}"/>
            </a:ext>
          </a:extLst>
        </xdr:cNvPr>
        <xdr:cNvSpPr/>
      </xdr:nvSpPr>
      <xdr:spPr>
        <a:xfrm>
          <a:off x="3981450" y="1390650"/>
          <a:ext cx="2724150" cy="8064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parent IDs, life cycle phases and duration in days taken from start to end.</a:t>
          </a:r>
        </a:p>
      </xdr:txBody>
    </xdr:sp>
    <xdr:clientData/>
  </xdr:twoCellAnchor>
  <xdr:twoCellAnchor>
    <xdr:from>
      <xdr:col>1</xdr:col>
      <xdr:colOff>12700</xdr:colOff>
      <xdr:row>2</xdr:row>
      <xdr:rowOff>57150</xdr:rowOff>
    </xdr:from>
    <xdr:to>
      <xdr:col>2</xdr:col>
      <xdr:colOff>101600</xdr:colOff>
      <xdr:row>4</xdr:row>
      <xdr:rowOff>50800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267DB04B-696F-4A06-B9D9-4758F8526097}"/>
            </a:ext>
          </a:extLst>
        </xdr:cNvPr>
        <xdr:cNvSpPr/>
      </xdr:nvSpPr>
      <xdr:spPr>
        <a:xfrm>
          <a:off x="3390900" y="6096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3238500</xdr:colOff>
      <xdr:row>0</xdr:row>
      <xdr:rowOff>139700</xdr:rowOff>
    </xdr:from>
    <xdr:to>
      <xdr:col>1</xdr:col>
      <xdr:colOff>717550</xdr:colOff>
      <xdr:row>2</xdr:row>
      <xdr:rowOff>88900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57D337BC-8F0A-4C17-8C34-527D109669C1}"/>
            </a:ext>
          </a:extLst>
        </xdr:cNvPr>
        <xdr:cNvSpPr/>
      </xdr:nvSpPr>
      <xdr:spPr>
        <a:xfrm>
          <a:off x="3238500" y="1397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3</xdr:col>
      <xdr:colOff>361950</xdr:colOff>
      <xdr:row>15</xdr:row>
      <xdr:rowOff>120650</xdr:rowOff>
    </xdr:from>
    <xdr:to>
      <xdr:col>3</xdr:col>
      <xdr:colOff>1498600</xdr:colOff>
      <xdr:row>17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154FDB-F6ED-49E6-B9FE-C5EE333D8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19700" y="3251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3776ED-0E61-4211-9FDA-8ADD0443D670}" autoFormatId="16" applyNumberFormats="0" applyBorderFormats="0" applyFontFormats="0" applyPatternFormats="0" applyAlignmentFormats="0" applyWidthHeightFormats="0">
  <queryTableRefresh nextId="4">
    <queryTableFields count="3">
      <queryTableField id="1" name="ParentId" tableColumnId="1"/>
      <queryTableField id="2" name="Status Path" tableColumnId="2"/>
      <queryTableField id="3" name="Lifecycle Day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C8EEE-9512-4881-A2E2-18E50790EB9A}" name="tblStart" displayName="tblStart" ref="A1:A21" totalsRowShown="0" headerRowDxfId="4" tableBorderDxfId="3">
  <autoFilter ref="A1:A21" xr:uid="{D41C8EEE-9512-4881-A2E2-18E50790EB9A}"/>
  <tableColumns count="1">
    <tableColumn id="1" xr3:uid="{9E223776-C6AA-43B7-AF35-1662E5C5E4E0}" name="HxId,ParentId,CreatedDate,OldValue,NewValu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26BED-C50F-4232-A06C-3376AFD0DE83}" name="tblSolution" displayName="tblSolution" ref="G1:I4" tableType="queryTable" totalsRowShown="0">
  <autoFilter ref="G1:I4" xr:uid="{15526BED-C50F-4232-A06C-3376AFD0DE83}"/>
  <tableColumns count="3">
    <tableColumn id="1" xr3:uid="{8A48ADC1-2F5C-400E-A2D8-2E9648517094}" uniqueName="1" name="ParentId" queryTableFieldId="1" dataDxfId="1"/>
    <tableColumn id="2" xr3:uid="{A68E3AE1-DCAD-43D9-A442-0F47E2647946}" uniqueName="2" name="Status Path" queryTableFieldId="2" dataDxfId="0"/>
    <tableColumn id="3" xr3:uid="{A567FE39-9878-48A1-AA4B-A8E057A72ACE}" uniqueName="3" name="Lifecycle Days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A10" sqref="A10"/>
    </sheetView>
  </sheetViews>
  <sheetFormatPr defaultRowHeight="15" x14ac:dyDescent="0.25"/>
  <cols>
    <col min="1" max="1" width="55" customWidth="1"/>
    <col min="2" max="2" width="11.28515625" customWidth="1"/>
    <col min="3" max="3" width="9.85546875" customWidth="1"/>
    <col min="4" max="4" width="53" style="2" customWidth="1"/>
    <col min="5" max="5" width="14.140625" customWidth="1"/>
    <col min="7" max="7" width="10.85546875" bestFit="1" customWidth="1"/>
    <col min="8" max="8" width="81.140625" bestFit="1" customWidth="1"/>
    <col min="9" max="9" width="15.7109375" bestFit="1" customWidth="1"/>
  </cols>
  <sheetData>
    <row r="1" spans="1:9" x14ac:dyDescent="0.25">
      <c r="A1" s="13" t="s">
        <v>0</v>
      </c>
      <c r="C1" s="3" t="s">
        <v>1</v>
      </c>
      <c r="D1" s="7" t="s">
        <v>2</v>
      </c>
      <c r="E1" s="4" t="s">
        <v>3</v>
      </c>
      <c r="G1" t="s">
        <v>1</v>
      </c>
      <c r="H1" t="s">
        <v>2</v>
      </c>
      <c r="I1" t="s">
        <v>3</v>
      </c>
    </row>
    <row r="2" spans="1:9" ht="30" x14ac:dyDescent="0.25">
      <c r="A2" s="12" t="s">
        <v>4</v>
      </c>
      <c r="C2" s="5" t="s">
        <v>5</v>
      </c>
      <c r="D2" s="8" t="s">
        <v>6</v>
      </c>
      <c r="E2" s="9">
        <v>19</v>
      </c>
      <c r="G2" t="s">
        <v>5</v>
      </c>
      <c r="H2" t="s">
        <v>6</v>
      </c>
      <c r="I2">
        <v>19</v>
      </c>
    </row>
    <row r="3" spans="1:9" x14ac:dyDescent="0.25">
      <c r="A3" s="12" t="s">
        <v>7</v>
      </c>
      <c r="C3" s="5" t="s">
        <v>8</v>
      </c>
      <c r="D3" s="8" t="s">
        <v>9</v>
      </c>
      <c r="E3" s="9">
        <v>9</v>
      </c>
      <c r="G3" t="s">
        <v>8</v>
      </c>
      <c r="H3" t="s">
        <v>9</v>
      </c>
      <c r="I3">
        <v>9</v>
      </c>
    </row>
    <row r="4" spans="1:9" ht="30" x14ac:dyDescent="0.25">
      <c r="A4" s="12" t="s">
        <v>10</v>
      </c>
      <c r="C4" s="6" t="s">
        <v>11</v>
      </c>
      <c r="D4" s="10" t="s">
        <v>12</v>
      </c>
      <c r="E4" s="11">
        <v>21</v>
      </c>
      <c r="G4" t="s">
        <v>11</v>
      </c>
      <c r="H4" t="s">
        <v>12</v>
      </c>
      <c r="I4">
        <v>21</v>
      </c>
    </row>
    <row r="5" spans="1:9" x14ac:dyDescent="0.25">
      <c r="A5" s="12" t="s">
        <v>13</v>
      </c>
      <c r="E5" s="1"/>
    </row>
    <row r="6" spans="1:9" x14ac:dyDescent="0.25">
      <c r="A6" s="12" t="s">
        <v>14</v>
      </c>
      <c r="E6" s="1"/>
      <c r="G6" t="b" cm="1">
        <f t="array" ref="G6:I9">tblSolution[#All]=C1:E4</f>
        <v>1</v>
      </c>
      <c r="H6" t="b">
        <v>1</v>
      </c>
      <c r="I6" t="b">
        <v>1</v>
      </c>
    </row>
    <row r="7" spans="1:9" x14ac:dyDescent="0.25">
      <c r="A7" s="12" t="s">
        <v>15</v>
      </c>
      <c r="E7" s="1"/>
      <c r="G7" t="b">
        <v>1</v>
      </c>
      <c r="H7" t="b">
        <v>1</v>
      </c>
      <c r="I7" t="b">
        <v>1</v>
      </c>
    </row>
    <row r="8" spans="1:9" x14ac:dyDescent="0.25">
      <c r="A8" s="12" t="s">
        <v>16</v>
      </c>
      <c r="E8" s="1"/>
      <c r="G8" t="b">
        <v>1</v>
      </c>
      <c r="H8" t="b">
        <v>1</v>
      </c>
      <c r="I8" t="b">
        <v>1</v>
      </c>
    </row>
    <row r="9" spans="1:9" x14ac:dyDescent="0.25">
      <c r="A9" s="12" t="s">
        <v>17</v>
      </c>
      <c r="E9" s="1"/>
      <c r="G9" t="b">
        <v>1</v>
      </c>
      <c r="H9" t="b">
        <v>1</v>
      </c>
      <c r="I9" t="b">
        <v>1</v>
      </c>
    </row>
    <row r="10" spans="1:9" x14ac:dyDescent="0.25">
      <c r="A10" s="12" t="s">
        <v>18</v>
      </c>
      <c r="E10" s="1"/>
    </row>
    <row r="11" spans="1:9" x14ac:dyDescent="0.25">
      <c r="A11" s="12" t="s">
        <v>19</v>
      </c>
      <c r="E11" s="1"/>
    </row>
    <row r="12" spans="1:9" x14ac:dyDescent="0.25">
      <c r="A12" s="12" t="s">
        <v>20</v>
      </c>
      <c r="E12" s="1"/>
    </row>
    <row r="13" spans="1:9" x14ac:dyDescent="0.25">
      <c r="A13" s="12" t="s">
        <v>21</v>
      </c>
      <c r="E13" s="1"/>
      <c r="G13" t="str" cm="1">
        <f t="array" ref="G13:I16">_xlfn.LET(
_xlpm._data_, tblStart[HxId,ParentId,CreatedDate,OldValue,NewValue],
_xlpm._dataClean_, _xlfn.TEXTSPLIT(_xlfn.TEXTJOIN(";", 0, _xlpm._data_), ",", ";"),
_xlpm._sort_, _xlfn._xlws.SORT(_xlpm._dataClean_, 1, 1),
_xlpm._parent_, _xlfn.CHOOSECOLS(_xlpm._sort_, 2),
_xlpm._date_, _xlfn.CHOOSECOLS(_xlpm._sort_, 3),
_xlpm._status_, _xlfn.IFNA(_xlfn.CHOOSECOLS(_xlpm._sort_, -1),_xlfn.CHOOSECOLS(_xlpm._sort_, -2)),
_xlpm._group_, _xlfn.DROP(_xlfn.GROUPBY(_xlpm._parent_, _xlfn.HSTACK(_xlpm._status_, _xlpm._date_), _xlfn.HSTACK(_xlfn.LAMBDA(_xlpm.x, _xlfn.TEXTJOIN(" &gt; ", 1, _xlpm.x)), _xlfn.LAMBDA(_xlpm.x, MAX(--_xlpm.x) - MIN(--_xlpm.x))), 0, 0), 1),
_xlpm._res_, _xlfn.VSTACK({"ParentId","Status Path","Lifecycle Days"}, _xlpm._group_),
_xlpm._res_)</f>
        <v>ParentId</v>
      </c>
      <c r="H13" t="str">
        <v>Status Path</v>
      </c>
      <c r="I13" t="str">
        <v>Lifecycle Days</v>
      </c>
    </row>
    <row r="14" spans="1:9" x14ac:dyDescent="0.25">
      <c r="A14" s="12" t="s">
        <v>22</v>
      </c>
      <c r="E14" s="1"/>
      <c r="G14" t="str">
        <v>APP-101</v>
      </c>
      <c r="H14" t="str">
        <v>Created &gt; Submitted &gt; In Review &gt; Response Required &gt; Submitted &gt; In Review &gt; Approved &gt; Closed</v>
      </c>
      <c r="I14">
        <v>19</v>
      </c>
    </row>
    <row r="15" spans="1:9" x14ac:dyDescent="0.25">
      <c r="A15" s="12" t="s">
        <v>23</v>
      </c>
      <c r="E15" s="1"/>
      <c r="G15" t="str">
        <v>APP-102</v>
      </c>
      <c r="H15" t="str">
        <v>Created &gt; Submitted &gt; In Review &gt; Rejected &gt; Archived</v>
      </c>
      <c r="I15">
        <v>9</v>
      </c>
    </row>
    <row r="16" spans="1:9" x14ac:dyDescent="0.25">
      <c r="A16" s="12" t="s">
        <v>24</v>
      </c>
      <c r="E16" s="1"/>
      <c r="G16" t="str">
        <v>APP-103</v>
      </c>
      <c r="H16" t="str">
        <v>Created &gt; Draft &gt; Submitted &gt; In Review &gt; On Hold &gt; In Review &gt; Approved</v>
      </c>
      <c r="I16">
        <v>21</v>
      </c>
    </row>
    <row r="17" spans="1:9" x14ac:dyDescent="0.25">
      <c r="A17" s="12" t="s">
        <v>25</v>
      </c>
      <c r="E17" s="1"/>
    </row>
    <row r="18" spans="1:9" x14ac:dyDescent="0.25">
      <c r="A18" s="12" t="s">
        <v>26</v>
      </c>
      <c r="E18" s="1"/>
      <c r="G18" t="b" cm="1">
        <f t="array" ref="G18:I21">_xlfn.ANCHORARRAY(G13)=C1:E4</f>
        <v>1</v>
      </c>
      <c r="H18" t="b">
        <v>1</v>
      </c>
      <c r="I18" t="b">
        <v>1</v>
      </c>
    </row>
    <row r="19" spans="1:9" x14ac:dyDescent="0.25">
      <c r="A19" s="12" t="s">
        <v>27</v>
      </c>
      <c r="E19" s="1"/>
      <c r="G19" t="b">
        <v>1</v>
      </c>
      <c r="H19" t="b">
        <v>1</v>
      </c>
      <c r="I19" t="b">
        <v>1</v>
      </c>
    </row>
    <row r="20" spans="1:9" x14ac:dyDescent="0.25">
      <c r="A20" s="12" t="s">
        <v>28</v>
      </c>
      <c r="E20" s="1"/>
      <c r="G20" t="b">
        <v>1</v>
      </c>
      <c r="H20" t="b">
        <v>1</v>
      </c>
      <c r="I20" t="b">
        <v>1</v>
      </c>
    </row>
    <row r="21" spans="1:9" x14ac:dyDescent="0.25">
      <c r="A21" s="12" t="s">
        <v>29</v>
      </c>
      <c r="E21" s="1"/>
      <c r="G21" t="b">
        <v>1</v>
      </c>
      <c r="H21" t="b">
        <v>1</v>
      </c>
      <c r="I21" t="b">
        <v>1</v>
      </c>
    </row>
    <row r="25" spans="1:9" x14ac:dyDescent="0.25">
      <c r="G25" t="str" cm="1">
        <f t="array" ref="G25:I28">_xlfn._xlws.PY(0,0,A1:A21)</f>
        <v>ParentId</v>
      </c>
      <c r="H25" t="str">
        <v>Status Path</v>
      </c>
      <c r="I25" t="str">
        <v>Lifecycle Days</v>
      </c>
    </row>
    <row r="26" spans="1:9" x14ac:dyDescent="0.25">
      <c r="G26" t="str">
        <v>APP-101</v>
      </c>
      <c r="H26" t="str">
        <v>Created &gt; Submitted &gt; In Review &gt; Response Required &gt; Submitted &gt; In Review &gt; Approved &gt; Closed</v>
      </c>
      <c r="I26">
        <v>19</v>
      </c>
    </row>
    <row r="27" spans="1:9" x14ac:dyDescent="0.25">
      <c r="G27" t="str">
        <v>APP-102</v>
      </c>
      <c r="H27" t="str">
        <v>Created &gt; Submitted &gt; In Review &gt; Rejected &gt; Archived</v>
      </c>
      <c r="I27">
        <v>9</v>
      </c>
    </row>
    <row r="28" spans="1:9" x14ac:dyDescent="0.25">
      <c r="G28" t="str">
        <v>APP-103</v>
      </c>
      <c r="H28" t="str">
        <v>Created &gt; Draft &gt; Submitted &gt; In Review &gt; On Hold &gt; In Review &gt; Approved</v>
      </c>
      <c r="I28">
        <v>21</v>
      </c>
    </row>
    <row r="31" spans="1:9" x14ac:dyDescent="0.25">
      <c r="G31" t="b" cm="1">
        <f t="array" ref="G31:I34">_xlfn.ANCHORARRAY(G25)=C1:E4</f>
        <v>1</v>
      </c>
      <c r="H31" t="b">
        <v>1</v>
      </c>
      <c r="I31" t="b">
        <v>1</v>
      </c>
    </row>
    <row r="32" spans="1:9" x14ac:dyDescent="0.25">
      <c r="G32" t="b">
        <v>1</v>
      </c>
      <c r="H32" t="b">
        <v>1</v>
      </c>
      <c r="I32" t="b">
        <v>1</v>
      </c>
    </row>
    <row r="33" spans="7:9" x14ac:dyDescent="0.25">
      <c r="G33" t="b">
        <v>1</v>
      </c>
      <c r="H33" t="b">
        <v>1</v>
      </c>
      <c r="I33" t="b">
        <v>1</v>
      </c>
    </row>
    <row r="34" spans="7:9" x14ac:dyDescent="0.25">
      <c r="G34" t="b">
        <v>1</v>
      </c>
      <c r="H34" t="b">
        <v>1</v>
      </c>
      <c r="I34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3D8DE0-1B66-41E3-829A-0ED35B30C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369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2026-02-28T22:41:42Z</dcterms:modified>
  <cp:category/>
  <cp:contentStatus/>
</cp:coreProperties>
</file>