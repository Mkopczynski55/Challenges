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2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== Github Repos/Challenges/Excel BI Challenges/Power Query/"/>
    </mc:Choice>
  </mc:AlternateContent>
  <xr:revisionPtr revIDLastSave="39" documentId="8_{4873A1D7-C550-4BA0-BE06-3B737FFDF286}" xr6:coauthVersionLast="47" xr6:coauthVersionMax="47" xr10:uidLastSave="{8198295E-45B7-41FC-8DEA-DA5AD294AFDA}"/>
  <bookViews>
    <workbookView xWindow="-120" yWindow="-120" windowWidth="51840" windowHeight="21120" xr2:uid="{00000000-000D-0000-FFFF-FFFF00000000}"/>
  </bookViews>
  <sheets>
    <sheet name="392" sheetId="1" r:id="rId1"/>
  </sheets>
  <definedNames>
    <definedName name="_xlnm._FilterDatabase" localSheetId="0" hidden="1">'392'!$A$1:$C$1</definedName>
    <definedName name="ExternalData_1" localSheetId="0" hidden="1">'392'!$E$6:$I$9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 a="1"/>
  <c r="E11" i="1" a="1"/>
  <c r="K11" i="1" s="1" a="1"/>
  <c r="K6" i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792C2E-5A7C-4F3B-A55A-48A33DC25C34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df = xl(%P2%, headers = True)
df_sorted = df.sort_values(by = ["User_ID", "Timestamp"], ascending = [True, True])
df_grouped = df.groupby("User_ID", as_index = False)["Page_Visited"].agg(
    Entry_Page = "first",
    Exit_Page = "last",
    Unique_Pages_Visited = lambda x: len(set(x))
    Full_Navigation_Path = .join(" &gt; ")
)
df_grouped</code>
    </pythonScript>
  </pythonScripts>
</python>
</file>

<file path=xl/sharedStrings.xml><?xml version="1.0" encoding="utf-8"?>
<sst xmlns="http://schemas.openxmlformats.org/spreadsheetml/2006/main" count="79" uniqueCount="24">
  <si>
    <t>User_ID</t>
  </si>
  <si>
    <t>Timestamp</t>
  </si>
  <si>
    <t>Page_Visited</t>
  </si>
  <si>
    <t>Entry_Page</t>
  </si>
  <si>
    <t>Exit_Page</t>
  </si>
  <si>
    <t>Unique_Pages_Visited</t>
  </si>
  <si>
    <t>Full_Navigation_Path</t>
  </si>
  <si>
    <t>U1</t>
  </si>
  <si>
    <t>Home</t>
  </si>
  <si>
    <t>Profile</t>
  </si>
  <si>
    <t>Home &gt; Products &gt; Cart &gt; Checkout &gt; Confirmation &gt; Home &gt; Profile</t>
  </si>
  <si>
    <t>Products</t>
  </si>
  <si>
    <t>U2</t>
  </si>
  <si>
    <t>Cart</t>
  </si>
  <si>
    <t>Home &gt; Blog &gt; Contact &gt; Home &gt; Products &gt; Cart</t>
  </si>
  <si>
    <t>U3</t>
  </si>
  <si>
    <t>Support</t>
  </si>
  <si>
    <t>Home &gt; About &gt; FAQ &gt; Home &gt; Products &gt; Cart &gt; Checkout &gt; Support</t>
  </si>
  <si>
    <t>Blog</t>
  </si>
  <si>
    <t>Checkout</t>
  </si>
  <si>
    <t>Confirmation</t>
  </si>
  <si>
    <t>Contact</t>
  </si>
  <si>
    <t>About</t>
  </si>
  <si>
    <t>FAQ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</si>
</sst>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8">
    <border>
      <left/>
      <right/>
      <top/>
      <bottom/>
      <diagonal/>
    </border>
    <border>
      <left/>
      <right/>
      <top style="thin">
        <color theme="5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3">
    <xf numFmtId="0" fontId="0" fillId="0" borderId="0" xfId="0"/>
    <xf numFmtId="22" fontId="0" fillId="0" borderId="1" xfId="0" applyNumberFormat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1" fillId="2" borderId="0" xfId="0" applyFont="1" applyFill="1" applyBorder="1"/>
  </cellXfs>
  <cellStyles count="1">
    <cellStyle name="Normalny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</dxf>
    <dxf>
      <border diagonalUp="0" diagonalDown="0">
        <left/>
        <right/>
        <top style="thin">
          <color theme="5"/>
        </top>
        <bottom/>
        <vertical/>
        <horizontal/>
      </border>
    </dxf>
    <dxf>
      <numFmt numFmtId="27" formatCode="d/mm/yyyy\ hh:mm"/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</dxfs>
  <tableStyles count="1" defaultTableStyle="TableStyleMedium2" defaultPivotStyle="PivotStyleLight16">
    <tableStyle name="Invisible" pivot="0" table="0" count="0" xr9:uid="{094C6B8C-665D-45B8-8487-0D3AF354124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connections" Target="connections.xml"/><Relationship Id="rId7" Type="http://schemas.microsoft.com/office/2017/06/relationships/rdRichValue" Target="richData/rdrichvalue.xml"/><Relationship Id="rId12" Type="http://schemas.microsoft.com/office/2023/09/relationships/Python" Target="pyth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22</xdr:row>
      <xdr:rowOff>180975</xdr:rowOff>
    </xdr:from>
    <xdr:to>
      <xdr:col>2</xdr:col>
      <xdr:colOff>390525</xdr:colOff>
      <xdr:row>30</xdr:row>
      <xdr:rowOff>117475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8E37AE4-6BDB-01F9-6E80-5F69A0C0A679}"/>
            </a:ext>
          </a:extLst>
        </xdr:cNvPr>
        <xdr:cNvSpPr/>
      </xdr:nvSpPr>
      <xdr:spPr>
        <a:xfrm>
          <a:off x="238125" y="4371975"/>
          <a:ext cx="2733675" cy="14605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Generate Entry and Exit page for each user. Also generate Unique_Pages_Visited and Full_Navigation_Path as shown.</a:t>
          </a:r>
        </a:p>
      </xdr:txBody>
    </xdr:sp>
    <xdr:clientData/>
  </xdr:twoCellAnchor>
  <xdr:twoCellAnchor editAs="oneCell">
    <xdr:from>
      <xdr:col>1</xdr:col>
      <xdr:colOff>149225</xdr:colOff>
      <xdr:row>32</xdr:row>
      <xdr:rowOff>9525</xdr:rowOff>
    </xdr:from>
    <xdr:to>
      <xdr:col>1</xdr:col>
      <xdr:colOff>1263650</xdr:colOff>
      <xdr:row>33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600D46-0FFD-4696-979F-24AB1CE37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825500" y="6105525"/>
          <a:ext cx="11144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A3C2882-95DB-4252-9A02-A6E60ADF8177}" autoFormatId="16" applyNumberFormats="0" applyBorderFormats="0" applyFontFormats="0" applyPatternFormats="0" applyAlignmentFormats="0" applyWidthHeightFormats="0">
  <queryTableRefresh nextId="6">
    <queryTableFields count="5">
      <queryTableField id="1" name="User_ID" tableColumnId="1"/>
      <queryTableField id="2" name="Entry_Page" tableColumnId="2"/>
      <queryTableField id="3" name="Exit_Page" tableColumnId="3"/>
      <queryTableField id="4" name="Unique_Pages_Visited" tableColumnId="4"/>
      <queryTableField id="5" name="Full_Navigation_Path" tableColumnId="5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523f6e77d76248e28f160cf25dc6f3e2</v>
    <v>invalid syntax. Perhaps you forgot a comma? (line 7)</v>
    <v>SyntaxError</v>
    <v>18</v>
    <v>1</v>
  </rv>
</rvData>
</file>

<file path=xl/richData/rdrichvaluestructure.xml><?xml version="1.0" encoding="utf-8"?>
<rvStructures xmlns="http://schemas.microsoft.com/office/spreadsheetml/2017/richdata" count="1">
  <s t="_error">
    <k n="correlationId" t="s"/>
    <k n="errorMessage" t="s"/>
    <k n="errorName" t="s"/>
    <k n="errorType" t="i"/>
    <k n="subType" t="i"/>
  </s>
</rvStructure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C0E280-BAE2-467C-A05E-2C442111BD13}" name="tblStart" displayName="tblStart" ref="A1:C22" totalsRowShown="0" headerRowDxfId="0" tableBorderDxfId="4">
  <autoFilter ref="A1:C22" xr:uid="{96C0E280-BAE2-467C-A05E-2C442111BD13}"/>
  <tableColumns count="3">
    <tableColumn id="1" xr3:uid="{B5520A20-A04C-40E5-888F-A412FC6DFBCA}" name="User_ID" dataDxfId="3"/>
    <tableColumn id="2" xr3:uid="{542157B6-7E41-41F0-818F-4ACEBAA92EFB}" name="Timestamp" dataDxfId="2"/>
    <tableColumn id="3" xr3:uid="{A74FE946-5769-44D7-AEC9-688C78A7C934}" name="Page_Visited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134BF3-A20E-4DD6-8055-B4E5AAA2C15A}" name="tblSolution" displayName="tblSolution" ref="E6:I9" tableType="queryTable" totalsRowShown="0">
  <autoFilter ref="E6:I9" xr:uid="{21134BF3-A20E-4DD6-8055-B4E5AAA2C15A}"/>
  <tableColumns count="5">
    <tableColumn id="1" xr3:uid="{1006D498-5DF0-469C-825B-A95AF22E190D}" uniqueName="1" name="User_ID" queryTableFieldId="1"/>
    <tableColumn id="2" xr3:uid="{399B4BC2-AC45-4E38-9AB1-3023C6E1F947}" uniqueName="2" name="Entry_Page" queryTableFieldId="2"/>
    <tableColumn id="3" xr3:uid="{C0FE9BC6-10AC-4872-98ED-091D34E1B4A3}" uniqueName="3" name="Exit_Page" queryTableFieldId="3"/>
    <tableColumn id="4" xr3:uid="{35A04211-2D65-4219-B4CD-A508B4919A23}" uniqueName="4" name="Unique_Pages_Visited" queryTableFieldId="4"/>
    <tableColumn id="5" xr3:uid="{B3736535-1B8A-4331-975F-A9639EAC92A7}" uniqueName="5" name="Full_Navigation_Path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workbookViewId="0">
      <selection activeCell="E16" sqref="E16"/>
    </sheetView>
  </sheetViews>
  <sheetFormatPr defaultRowHeight="15" x14ac:dyDescent="0.25"/>
  <cols>
    <col min="1" max="1" width="10.140625" customWidth="1"/>
    <col min="2" max="2" width="28.5703125" customWidth="1"/>
    <col min="3" max="3" width="14.7109375" customWidth="1"/>
    <col min="5" max="5" width="11" bestFit="1" customWidth="1"/>
    <col min="6" max="6" width="13.140625" bestFit="1" customWidth="1"/>
    <col min="7" max="7" width="11.85546875" bestFit="1" customWidth="1"/>
    <col min="8" max="8" width="23.7109375" bestFit="1" customWidth="1"/>
    <col min="9" max="9" width="62.140625" bestFit="1" customWidth="1"/>
    <col min="10" max="10" width="13.42578125" bestFit="1" customWidth="1"/>
  </cols>
  <sheetData>
    <row r="1" spans="1:15" x14ac:dyDescent="0.25">
      <c r="A1" s="12" t="s">
        <v>0</v>
      </c>
      <c r="B1" s="12" t="s">
        <v>1</v>
      </c>
      <c r="C1" s="12" t="s">
        <v>2</v>
      </c>
      <c r="E1" s="2" t="s">
        <v>0</v>
      </c>
      <c r="F1" s="3" t="s">
        <v>3</v>
      </c>
      <c r="G1" s="3" t="s">
        <v>4</v>
      </c>
      <c r="H1" s="3" t="s">
        <v>5</v>
      </c>
      <c r="I1" s="4" t="s">
        <v>6</v>
      </c>
    </row>
    <row r="2" spans="1:15" x14ac:dyDescent="0.25">
      <c r="A2" s="11" t="s">
        <v>7</v>
      </c>
      <c r="B2" s="1">
        <v>46158.333333333336</v>
      </c>
      <c r="C2" s="11" t="s">
        <v>8</v>
      </c>
      <c r="E2" s="5" t="s">
        <v>7</v>
      </c>
      <c r="F2" s="6" t="s">
        <v>8</v>
      </c>
      <c r="G2" s="6" t="s">
        <v>9</v>
      </c>
      <c r="H2" s="6">
        <v>6</v>
      </c>
      <c r="I2" s="7" t="s">
        <v>10</v>
      </c>
    </row>
    <row r="3" spans="1:15" x14ac:dyDescent="0.25">
      <c r="A3" s="11" t="s">
        <v>7</v>
      </c>
      <c r="B3" s="1">
        <v>46158.34375</v>
      </c>
      <c r="C3" s="11" t="s">
        <v>11</v>
      </c>
      <c r="E3" s="5" t="s">
        <v>12</v>
      </c>
      <c r="F3" s="6" t="s">
        <v>8</v>
      </c>
      <c r="G3" s="6" t="s">
        <v>13</v>
      </c>
      <c r="H3" s="6">
        <v>5</v>
      </c>
      <c r="I3" s="7" t="s">
        <v>14</v>
      </c>
    </row>
    <row r="4" spans="1:15" x14ac:dyDescent="0.25">
      <c r="A4" s="11" t="s">
        <v>7</v>
      </c>
      <c r="B4" s="1">
        <v>46158.350694444445</v>
      </c>
      <c r="C4" s="11" t="s">
        <v>13</v>
      </c>
      <c r="E4" s="8" t="s">
        <v>15</v>
      </c>
      <c r="F4" s="9" t="s">
        <v>8</v>
      </c>
      <c r="G4" s="9" t="s">
        <v>16</v>
      </c>
      <c r="H4" s="9">
        <v>7</v>
      </c>
      <c r="I4" s="10" t="s">
        <v>17</v>
      </c>
    </row>
    <row r="5" spans="1:15" x14ac:dyDescent="0.25">
      <c r="A5" s="11" t="s">
        <v>12</v>
      </c>
      <c r="B5" s="1">
        <v>46158.354166666664</v>
      </c>
      <c r="C5" s="11" t="s">
        <v>8</v>
      </c>
    </row>
    <row r="6" spans="1:15" x14ac:dyDescent="0.25">
      <c r="A6" s="11" t="s">
        <v>12</v>
      </c>
      <c r="B6" s="1">
        <v>46158.364583333336</v>
      </c>
      <c r="C6" s="11" t="s">
        <v>18</v>
      </c>
      <c r="E6" t="s">
        <v>0</v>
      </c>
      <c r="F6" t="s">
        <v>3</v>
      </c>
      <c r="G6" t="s">
        <v>4</v>
      </c>
      <c r="H6" t="s">
        <v>5</v>
      </c>
      <c r="I6" t="s">
        <v>6</v>
      </c>
      <c r="K6" t="b" cm="1">
        <f t="array" ref="K6:O9">tblSolution[#All]=E1:I4</f>
        <v>1</v>
      </c>
      <c r="L6" t="b">
        <v>1</v>
      </c>
      <c r="M6" t="b">
        <v>1</v>
      </c>
      <c r="N6" t="b">
        <v>1</v>
      </c>
      <c r="O6" t="b">
        <v>1</v>
      </c>
    </row>
    <row r="7" spans="1:15" x14ac:dyDescent="0.25">
      <c r="A7" s="11" t="s">
        <v>7</v>
      </c>
      <c r="B7" s="1">
        <v>46158.381944444445</v>
      </c>
      <c r="C7" s="11" t="s">
        <v>19</v>
      </c>
      <c r="E7" t="s">
        <v>7</v>
      </c>
      <c r="F7" t="s">
        <v>8</v>
      </c>
      <c r="G7" t="s">
        <v>9</v>
      </c>
      <c r="H7">
        <v>6</v>
      </c>
      <c r="I7" t="s">
        <v>10</v>
      </c>
      <c r="K7" t="b">
        <v>1</v>
      </c>
      <c r="L7" t="b">
        <v>1</v>
      </c>
      <c r="M7" t="b">
        <v>1</v>
      </c>
      <c r="N7" t="b">
        <v>1</v>
      </c>
      <c r="O7" t="b">
        <v>1</v>
      </c>
    </row>
    <row r="8" spans="1:15" x14ac:dyDescent="0.25">
      <c r="A8" s="11" t="s">
        <v>7</v>
      </c>
      <c r="B8" s="1">
        <v>46158.385416666664</v>
      </c>
      <c r="C8" s="11" t="s">
        <v>20</v>
      </c>
      <c r="E8" t="s">
        <v>12</v>
      </c>
      <c r="F8" t="s">
        <v>8</v>
      </c>
      <c r="G8" t="s">
        <v>13</v>
      </c>
      <c r="H8">
        <v>5</v>
      </c>
      <c r="I8" t="s">
        <v>14</v>
      </c>
      <c r="K8" t="b">
        <v>1</v>
      </c>
      <c r="L8" t="b">
        <v>1</v>
      </c>
      <c r="M8" t="b">
        <v>1</v>
      </c>
      <c r="N8" t="b">
        <v>1</v>
      </c>
      <c r="O8" t="b">
        <v>1</v>
      </c>
    </row>
    <row r="9" spans="1:15" x14ac:dyDescent="0.25">
      <c r="A9" s="11" t="s">
        <v>15</v>
      </c>
      <c r="B9" s="1">
        <v>46158.388888888891</v>
      </c>
      <c r="C9" s="11" t="s">
        <v>8</v>
      </c>
      <c r="E9" t="s">
        <v>15</v>
      </c>
      <c r="F9" t="s">
        <v>8</v>
      </c>
      <c r="G9" t="s">
        <v>16</v>
      </c>
      <c r="H9">
        <v>7</v>
      </c>
      <c r="I9" t="s">
        <v>17</v>
      </c>
      <c r="K9" t="b">
        <v>1</v>
      </c>
      <c r="L9" t="b">
        <v>1</v>
      </c>
      <c r="M9" t="b">
        <v>1</v>
      </c>
      <c r="N9" t="b">
        <v>1</v>
      </c>
      <c r="O9" t="b">
        <v>1</v>
      </c>
    </row>
    <row r="10" spans="1:15" x14ac:dyDescent="0.25">
      <c r="A10" s="11" t="s">
        <v>12</v>
      </c>
      <c r="B10" s="1">
        <v>46158.392361111109</v>
      </c>
      <c r="C10" s="11" t="s">
        <v>21</v>
      </c>
    </row>
    <row r="11" spans="1:15" x14ac:dyDescent="0.25">
      <c r="A11" s="11" t="s">
        <v>15</v>
      </c>
      <c r="B11" s="1">
        <v>46158.395833333336</v>
      </c>
      <c r="C11" s="11" t="s">
        <v>22</v>
      </c>
      <c r="E11" t="str" cm="1">
        <f t="array" ref="E11:I14">_xlfn.LET(
_xlpm._data_, tblStart[],
_xlpm._srt_, _xlfn._xlws.SORT(_xlpm._data_, {1;2}, {1;1}),
_xlpm._grp_, _xlfn.DROP(_xlfn.GROUPBY(_xlfn.CHOOSECOLS(_xlpm._srt_, 1), _xlfn.CHOOSECOLS(_xlpm._srt_, 3), _xlfn.HSTACK(_xlfn.LAMBDA(_xlpm.x, _xlfn.SINGLE(_xlfn.TAKE(_xlpm.x, 1))), _xlfn.LAMBDA(_xlpm.x, _xlfn.SINGLE(_xlfn.TAKE(_xlpm.x, -1))), _xlfn.LAMBDA(_xlpm.x, COUNTA(_xlfn.UNIQUE(_xlpm.x))), _xlfn.LAMBDA(_xlpm.x, _xlfn.TEXTJOIN(" &gt; ", 1, _xlpm.x))),0,0), 1),
_xlpm._headers_, {"User_ID","Entry_Page","Exit_Page","Unique_Pages_Visited","Full_Navigation_Path"},
_xlpm._sol_, _xlfn.VSTACK(_xlpm._headers_, _xlpm._grp_),
_xlpm._sol_)</f>
        <v>User_ID</v>
      </c>
      <c r="F11" t="str">
        <v>Entry_Page</v>
      </c>
      <c r="G11" t="str">
        <v>Exit_Page</v>
      </c>
      <c r="H11" t="str">
        <v>Unique_Pages_Visited</v>
      </c>
      <c r="I11" t="str">
        <v>Full_Navigation_Path</v>
      </c>
      <c r="K11" t="b" cm="1">
        <f t="array" ref="K11:O14">_xlfn.ANCHORARRAY(E11)=E1:I4</f>
        <v>1</v>
      </c>
      <c r="L11" t="b">
        <v>1</v>
      </c>
      <c r="M11" t="b">
        <v>1</v>
      </c>
      <c r="N11" t="b">
        <v>1</v>
      </c>
      <c r="O11" t="b">
        <v>1</v>
      </c>
    </row>
    <row r="12" spans="1:15" x14ac:dyDescent="0.25">
      <c r="A12" s="11" t="s">
        <v>15</v>
      </c>
      <c r="B12" s="1">
        <v>46158.40625</v>
      </c>
      <c r="C12" s="11" t="s">
        <v>23</v>
      </c>
      <c r="E12" t="str">
        <v>U1</v>
      </c>
      <c r="F12" t="str">
        <v>Home</v>
      </c>
      <c r="G12" t="str">
        <v>Profile</v>
      </c>
      <c r="H12">
        <v>6</v>
      </c>
      <c r="I12" t="str">
        <v>Home &gt; Products &gt; Cart &gt; Checkout &gt; Confirmation &gt; Home &gt; Profile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</row>
    <row r="13" spans="1:15" x14ac:dyDescent="0.25">
      <c r="A13" s="11" t="s">
        <v>7</v>
      </c>
      <c r="B13" s="1">
        <v>46158.458333333336</v>
      </c>
      <c r="C13" s="11" t="s">
        <v>8</v>
      </c>
      <c r="E13" t="str">
        <v>U2</v>
      </c>
      <c r="F13" t="str">
        <v>Home</v>
      </c>
      <c r="G13" t="str">
        <v>Cart</v>
      </c>
      <c r="H13">
        <v>5</v>
      </c>
      <c r="I13" t="str">
        <v>Home &gt; Blog &gt; Contact &gt; Home &gt; Products &gt; Cart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</row>
    <row r="14" spans="1:15" x14ac:dyDescent="0.25">
      <c r="A14" s="11" t="s">
        <v>7</v>
      </c>
      <c r="B14" s="1">
        <v>46158.465277777781</v>
      </c>
      <c r="C14" s="11" t="s">
        <v>9</v>
      </c>
      <c r="E14" t="str">
        <v>U3</v>
      </c>
      <c r="F14" t="str">
        <v>Home</v>
      </c>
      <c r="G14" t="str">
        <v>Support</v>
      </c>
      <c r="H14">
        <v>7</v>
      </c>
      <c r="I14" t="str">
        <v>Home &gt; About &gt; FAQ &gt; Home &gt; Products &gt; Cart &gt; Checkout &gt; Support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</row>
    <row r="15" spans="1:15" x14ac:dyDescent="0.25">
      <c r="A15" s="11" t="s">
        <v>12</v>
      </c>
      <c r="B15" s="1">
        <v>46158.479166666664</v>
      </c>
      <c r="C15" s="11" t="s">
        <v>8</v>
      </c>
    </row>
    <row r="16" spans="1:15" x14ac:dyDescent="0.25">
      <c r="A16" s="11" t="s">
        <v>12</v>
      </c>
      <c r="B16" s="1">
        <v>46158.489583333336</v>
      </c>
      <c r="C16" s="11" t="s">
        <v>11</v>
      </c>
      <c r="E16" t="e" cm="1" vm="1">
        <f t="array" ref="E16">_xlfn._xlws.PY(0,1,A1:C22)</f>
        <v>#VALUE!</v>
      </c>
    </row>
    <row r="17" spans="1:3" x14ac:dyDescent="0.25">
      <c r="A17" s="11" t="s">
        <v>12</v>
      </c>
      <c r="B17" s="1">
        <v>46158.506944444445</v>
      </c>
      <c r="C17" s="11" t="s">
        <v>13</v>
      </c>
    </row>
    <row r="18" spans="1:3" x14ac:dyDescent="0.25">
      <c r="A18" s="11" t="s">
        <v>15</v>
      </c>
      <c r="B18" s="1">
        <v>46158.541666666664</v>
      </c>
      <c r="C18" s="11" t="s">
        <v>8</v>
      </c>
    </row>
    <row r="19" spans="1:3" x14ac:dyDescent="0.25">
      <c r="A19" s="11" t="s">
        <v>15</v>
      </c>
      <c r="B19" s="1">
        <v>46158.552083333336</v>
      </c>
      <c r="C19" s="11" t="s">
        <v>11</v>
      </c>
    </row>
    <row r="20" spans="1:3" x14ac:dyDescent="0.25">
      <c r="A20" s="11" t="s">
        <v>15</v>
      </c>
      <c r="B20" s="1">
        <v>46158.555555555555</v>
      </c>
      <c r="C20" s="11" t="s">
        <v>13</v>
      </c>
    </row>
    <row r="21" spans="1:3" x14ac:dyDescent="0.25">
      <c r="A21" s="11" t="s">
        <v>15</v>
      </c>
      <c r="B21" s="1">
        <v>46158.559027777781</v>
      </c>
      <c r="C21" s="11" t="s">
        <v>19</v>
      </c>
    </row>
    <row r="22" spans="1:3" x14ac:dyDescent="0.25">
      <c r="A22" s="11" t="s">
        <v>15</v>
      </c>
      <c r="B22" s="1">
        <v>46158.590277777781</v>
      </c>
      <c r="C22" s="11" t="s">
        <v>16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A0288D-A665-487D-B37F-27527AA649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392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2026-05-17T19:34:55Z</dcterms:modified>
  <cp:category/>
  <cp:contentStatus/>
</cp:coreProperties>
</file>