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6"/>
  <workbookPr codeName="Ten_skoroszyt"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27" documentId="8_{1F53D2B1-707B-477B-9917-31617C310896}" xr6:coauthVersionLast="47" xr6:coauthVersionMax="47" xr10:uidLastSave="{12F7C2E0-F600-4A30-91B0-C6651A02FB22}"/>
  <bookViews>
    <workbookView xWindow="3510" yWindow="3510" windowWidth="38700" windowHeight="15345" xr2:uid="{00000000-000D-0000-FFFF-FFFF00000000}"/>
  </bookViews>
  <sheets>
    <sheet name="372" sheetId="2" r:id="rId1"/>
  </sheets>
  <definedNames>
    <definedName name="_xlnm._FilterDatabase" localSheetId="0" hidden="1">'372'!$A$1:$D$51</definedName>
    <definedName name="ExternalData_1" localSheetId="0" hidden="1">'372'!$G$10:$I$17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2" l="1" a="1"/>
  <c r="K19" i="2" a="1"/>
  <c r="K19" i="2" s="1"/>
  <c r="K10" i="2" a="1"/>
  <c r="K10" i="2" s="1"/>
  <c r="G19" i="2" a="1"/>
  <c r="G19" i="2" s="1"/>
  <c r="O10" i="2" l="1"/>
  <c r="O19" i="2" s="1" a="1"/>
  <c r="O19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19BC5F-6F86-45D6-832C-571E3A8FCAB3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df = xl(%P2%, headers = True)
totalHours = df["Hours"].sum()
def getMaxCount(x):
    grp = x.groupby("Project")["Hours"].sum().reset_index()
    mx = grp["Hours"].max()
    sel = ", ".join(sorted(grp[grp["Hours"] &gt;= mx]["Project"]))
    hours = grp["Hours"].sum()
    return pd.Series({
    "Top Project": sel,
    "Total Hours": hours
    })
new_row = pd.DataFrame([{"Employee": "Total", "Top Project": "", "Total Hours": totalHours}])
group = df.groupby("Employee").apply(getMaxCount).reset_index()
df = pd.concat([group, new_row], ignore_index = True)
df
</code>
    </pythonScript>
  </pythonScripts>
</python>
</file>

<file path=xl/sharedStrings.xml><?xml version="1.0" encoding="utf-8"?>
<sst xmlns="http://schemas.openxmlformats.org/spreadsheetml/2006/main" count="186" uniqueCount="43">
  <si>
    <t>Employee</t>
  </si>
  <si>
    <t>Project</t>
  </si>
  <si>
    <t>Hours</t>
  </si>
  <si>
    <t>Date</t>
  </si>
  <si>
    <t>Top Project</t>
  </si>
  <si>
    <t>Total Hours</t>
  </si>
  <si>
    <t>Asha</t>
  </si>
  <si>
    <t>Alpha</t>
  </si>
  <si>
    <t>2025-01-01</t>
  </si>
  <si>
    <t>Amit</t>
  </si>
  <si>
    <t>Gamma</t>
  </si>
  <si>
    <t>Ravi</t>
  </si>
  <si>
    <t>Beta</t>
  </si>
  <si>
    <t>Alpha, Beta, Gamma</t>
  </si>
  <si>
    <t>Neha</t>
  </si>
  <si>
    <t>2025-01-02</t>
  </si>
  <si>
    <t>Pooja</t>
  </si>
  <si>
    <t>2025-01-03</t>
  </si>
  <si>
    <t>Alpha, Beta</t>
  </si>
  <si>
    <t>Vikram</t>
  </si>
  <si>
    <t>2025-01-04</t>
  </si>
  <si>
    <t>Total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</si>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</sst>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3" borderId="7" xfId="0" applyFont="1" applyFill="1" applyBorder="1"/>
    <xf numFmtId="49" fontId="0" fillId="0" borderId="1" xfId="0" applyNumberFormat="1" applyBorder="1"/>
    <xf numFmtId="0" fontId="1" fillId="2" borderId="0" xfId="0" applyFont="1" applyFill="1"/>
  </cellXfs>
  <cellStyles count="1">
    <cellStyle name="Normalny" xfId="0" builtinId="0"/>
  </cellStyles>
  <dxfs count="6">
    <dxf>
      <numFmt numFmtId="30" formatCode="@"/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</dxfs>
  <tableStyles count="1" defaultTableStyle="TableStyleMedium2" defaultPivotStyle="PivotStyleLight16">
    <tableStyle name="Invisible" pivot="0" table="0" count="0" xr9:uid="{181CC73A-0129-48C6-946E-BA97BA5768A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23/09/relationships/Python" Target="pyth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3</xdr:row>
      <xdr:rowOff>139700</xdr:rowOff>
    </xdr:from>
    <xdr:to>
      <xdr:col>5</xdr:col>
      <xdr:colOff>492125</xdr:colOff>
      <xdr:row>6</xdr:row>
      <xdr:rowOff>133350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6CFD5A9B-D1C9-4186-A464-CB1C319E1820}"/>
            </a:ext>
          </a:extLst>
        </xdr:cNvPr>
        <xdr:cNvSpPr/>
      </xdr:nvSpPr>
      <xdr:spPr>
        <a:xfrm>
          <a:off x="2790825" y="711200"/>
          <a:ext cx="720725" cy="56515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3</xdr:col>
      <xdr:colOff>654050</xdr:colOff>
      <xdr:row>1</xdr:row>
      <xdr:rowOff>38100</xdr:rowOff>
    </xdr:from>
    <xdr:to>
      <xdr:col>5</xdr:col>
      <xdr:colOff>501650</xdr:colOff>
      <xdr:row>3</xdr:row>
      <xdr:rowOff>171450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070C0A7E-EA6F-42EC-973F-CEA288C6BA9C}"/>
            </a:ext>
          </a:extLst>
        </xdr:cNvPr>
        <xdr:cNvSpPr/>
      </xdr:nvSpPr>
      <xdr:spPr>
        <a:xfrm>
          <a:off x="2203450" y="222250"/>
          <a:ext cx="92710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28</xdr:col>
      <xdr:colOff>9525</xdr:colOff>
      <xdr:row>23</xdr:row>
      <xdr:rowOff>22225</xdr:rowOff>
    </xdr:from>
    <xdr:to>
      <xdr:col>29</xdr:col>
      <xdr:colOff>476250</xdr:colOff>
      <xdr:row>24</xdr:row>
      <xdr:rowOff>149225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843672-2408-4FB7-9949-6F6C2686D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9621500" y="4403725"/>
          <a:ext cx="1076325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247650</xdr:colOff>
      <xdr:row>15</xdr:row>
      <xdr:rowOff>34925</xdr:rowOff>
    </xdr:from>
    <xdr:to>
      <xdr:col>30</xdr:col>
      <xdr:colOff>307975</xdr:colOff>
      <xdr:row>22</xdr:row>
      <xdr:rowOff>149225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0057AB2-7B16-227B-2511-B7D4665F908F}"/>
            </a:ext>
          </a:extLst>
        </xdr:cNvPr>
        <xdr:cNvSpPr/>
      </xdr:nvSpPr>
      <xdr:spPr>
        <a:xfrm>
          <a:off x="18640425" y="2892425"/>
          <a:ext cx="2498725" cy="14478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List the projects where an employee logged the highest amount of total hours. </a:t>
          </a:r>
        </a:p>
        <a:p>
          <a:pPr algn="l"/>
          <a:r>
            <a:rPr lang="en-IN" sz="1200" b="1"/>
            <a:t>Also list the total hours logged by an employee.</a:t>
          </a:r>
        </a:p>
        <a:p>
          <a:pPr algn="l"/>
          <a:r>
            <a:rPr lang="en-IN" sz="1200" b="1"/>
            <a:t>Insert a total row for hours also.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BFAD5E-D0F3-414F-AA54-04C04EAE91B6}" autoFormatId="16" applyNumberFormats="0" applyBorderFormats="0" applyFontFormats="0" applyPatternFormats="0" applyAlignmentFormats="0" applyWidthHeightFormats="0">
  <queryTableRefresh nextId="4">
    <queryTableFields count="3">
      <queryTableField id="1" name="Employee" tableColumnId="1"/>
      <queryTableField id="2" name="Top Project" tableColumnId="2"/>
      <queryTableField id="3" name="Total Hours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74D391-36AE-4BCF-B67C-21FCE5D41B53}" name="tblStart" displayName="tblStart" ref="A1:D51" totalsRowShown="0" headerRowDxfId="5" tableBorderDxfId="4">
  <autoFilter ref="A1:D51" xr:uid="{5674D391-36AE-4BCF-B67C-21FCE5D41B53}"/>
  <tableColumns count="4">
    <tableColumn id="1" xr3:uid="{5CAC02C7-7911-4ABD-9B04-FA4A2E554042}" name="Employee" dataDxfId="3"/>
    <tableColumn id="2" xr3:uid="{8E9BC5DA-0D6E-448E-B2AD-D0A3EE508A3E}" name="Project" dataDxfId="2"/>
    <tableColumn id="3" xr3:uid="{E9D59569-D6AF-4F0A-85A5-27C547837EC5}" name="Hours" dataDxfId="1"/>
    <tableColumn id="4" xr3:uid="{17A4E9CF-B927-4B9E-8E1E-87713C704E58}" name="Date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DAC19A-836C-412B-84F8-C4BB11EDEA33}" name="tblSolution" displayName="tblSolution" ref="G10:I17" tableType="queryTable" totalsRowShown="0">
  <autoFilter ref="G10:I17" xr:uid="{32DAC19A-836C-412B-84F8-C4BB11EDEA33}"/>
  <tableColumns count="3">
    <tableColumn id="1" xr3:uid="{0C97E639-40E5-4831-9E21-2E6900D0865C}" uniqueName="1" name="Employee" queryTableFieldId="1"/>
    <tableColumn id="2" xr3:uid="{F451714F-089B-443F-A39C-49B4AD3BC721}" uniqueName="2" name="Top Project" queryTableFieldId="2"/>
    <tableColumn id="3" xr3:uid="{8AADEC16-A7CC-47F5-B34C-E69F2124F528}" uniqueName="3" name="Total Hours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1B87D-B7CE-4B78-BD3E-EC5586092B25}">
  <sheetPr codeName="Arkusz1"/>
  <dimension ref="A1:Q51"/>
  <sheetViews>
    <sheetView tabSelected="1" workbookViewId="0">
      <selection activeCell="O12" sqref="O12"/>
    </sheetView>
  </sheetViews>
  <sheetFormatPr defaultRowHeight="15" x14ac:dyDescent="0.25"/>
  <cols>
    <col min="1" max="1" width="12" customWidth="1"/>
    <col min="2" max="2" width="9.42578125" customWidth="1"/>
    <col min="3" max="3" width="8.28515625" customWidth="1"/>
    <col min="4" max="4" width="10.140625" bestFit="1" customWidth="1"/>
    <col min="5" max="5" width="5.42578125" customWidth="1"/>
    <col min="6" max="6" width="7.85546875" customWidth="1"/>
    <col min="7" max="7" width="12.140625" bestFit="1" customWidth="1"/>
    <col min="8" max="8" width="19.140625" bestFit="1" customWidth="1"/>
    <col min="9" max="9" width="13.28515625" bestFit="1" customWidth="1"/>
    <col min="11" max="11" width="11" bestFit="1" customWidth="1"/>
    <col min="12" max="12" width="17.42578125" customWidth="1"/>
    <col min="15" max="15" width="9.85546875" bestFit="1" customWidth="1"/>
    <col min="16" max="16" width="19.140625" bestFit="1" customWidth="1"/>
    <col min="17" max="17" width="11" bestFit="1" customWidth="1"/>
  </cols>
  <sheetData>
    <row r="1" spans="1:17" x14ac:dyDescent="0.25">
      <c r="A1" s="12" t="s">
        <v>0</v>
      </c>
      <c r="B1" s="12" t="s">
        <v>1</v>
      </c>
      <c r="C1" s="12" t="s">
        <v>2</v>
      </c>
      <c r="D1" s="12" t="s">
        <v>3</v>
      </c>
      <c r="G1" s="8" t="s">
        <v>0</v>
      </c>
      <c r="H1" s="9" t="s">
        <v>4</v>
      </c>
      <c r="I1" s="10" t="s">
        <v>5</v>
      </c>
    </row>
    <row r="2" spans="1:17" x14ac:dyDescent="0.25">
      <c r="A2" s="1" t="s">
        <v>6</v>
      </c>
      <c r="B2" s="1" t="s">
        <v>7</v>
      </c>
      <c r="C2" s="1">
        <v>5</v>
      </c>
      <c r="D2" s="11" t="s">
        <v>8</v>
      </c>
      <c r="G2" s="5" t="s">
        <v>9</v>
      </c>
      <c r="H2" s="6" t="s">
        <v>10</v>
      </c>
      <c r="I2" s="7">
        <v>33</v>
      </c>
    </row>
    <row r="3" spans="1:17" x14ac:dyDescent="0.25">
      <c r="A3" s="1" t="s">
        <v>11</v>
      </c>
      <c r="B3" s="1" t="s">
        <v>12</v>
      </c>
      <c r="C3" s="1">
        <v>3</v>
      </c>
      <c r="D3" s="11" t="s">
        <v>8</v>
      </c>
      <c r="G3" s="5" t="s">
        <v>6</v>
      </c>
      <c r="H3" s="6" t="s">
        <v>13</v>
      </c>
      <c r="I3" s="7">
        <v>57</v>
      </c>
    </row>
    <row r="4" spans="1:17" x14ac:dyDescent="0.25">
      <c r="A4" s="1" t="s">
        <v>14</v>
      </c>
      <c r="B4" s="1" t="s">
        <v>7</v>
      </c>
      <c r="C4" s="1">
        <v>4</v>
      </c>
      <c r="D4" s="11" t="s">
        <v>15</v>
      </c>
      <c r="G4" s="5" t="s">
        <v>14</v>
      </c>
      <c r="H4" s="6" t="s">
        <v>7</v>
      </c>
      <c r="I4" s="7">
        <v>36</v>
      </c>
    </row>
    <row r="5" spans="1:17" x14ac:dyDescent="0.25">
      <c r="A5" s="1" t="s">
        <v>9</v>
      </c>
      <c r="B5" s="1" t="s">
        <v>10</v>
      </c>
      <c r="C5" s="1">
        <v>6</v>
      </c>
      <c r="D5" s="11" t="s">
        <v>15</v>
      </c>
      <c r="G5" s="5" t="s">
        <v>16</v>
      </c>
      <c r="H5" s="6" t="s">
        <v>12</v>
      </c>
      <c r="I5" s="7">
        <v>27</v>
      </c>
    </row>
    <row r="6" spans="1:17" x14ac:dyDescent="0.25">
      <c r="A6" s="1" t="s">
        <v>16</v>
      </c>
      <c r="B6" s="1" t="s">
        <v>7</v>
      </c>
      <c r="C6" s="1">
        <v>2</v>
      </c>
      <c r="D6" s="11" t="s">
        <v>17</v>
      </c>
      <c r="G6" s="5" t="s">
        <v>11</v>
      </c>
      <c r="H6" s="6" t="s">
        <v>18</v>
      </c>
      <c r="I6" s="7">
        <v>36</v>
      </c>
    </row>
    <row r="7" spans="1:17" x14ac:dyDescent="0.25">
      <c r="A7" s="1" t="s">
        <v>19</v>
      </c>
      <c r="B7" s="1" t="s">
        <v>7</v>
      </c>
      <c r="C7" s="1">
        <v>7</v>
      </c>
      <c r="D7" s="11" t="s">
        <v>17</v>
      </c>
      <c r="G7" s="5" t="s">
        <v>19</v>
      </c>
      <c r="H7" s="6" t="s">
        <v>7</v>
      </c>
      <c r="I7" s="7">
        <v>36</v>
      </c>
    </row>
    <row r="8" spans="1:17" x14ac:dyDescent="0.25">
      <c r="A8" s="1" t="s">
        <v>6</v>
      </c>
      <c r="B8" s="1" t="s">
        <v>10</v>
      </c>
      <c r="C8" s="1">
        <v>6</v>
      </c>
      <c r="D8" s="11" t="s">
        <v>20</v>
      </c>
      <c r="G8" s="2" t="s">
        <v>21</v>
      </c>
      <c r="H8" s="3"/>
      <c r="I8" s="4">
        <v>225</v>
      </c>
    </row>
    <row r="9" spans="1:17" x14ac:dyDescent="0.25">
      <c r="A9" s="1" t="s">
        <v>11</v>
      </c>
      <c r="B9" s="1" t="s">
        <v>7</v>
      </c>
      <c r="C9" s="1">
        <v>5</v>
      </c>
      <c r="D9" s="11" t="s">
        <v>20</v>
      </c>
    </row>
    <row r="10" spans="1:17" x14ac:dyDescent="0.25">
      <c r="A10" s="1" t="s">
        <v>14</v>
      </c>
      <c r="B10" s="1" t="s">
        <v>12</v>
      </c>
      <c r="C10" s="1">
        <v>4</v>
      </c>
      <c r="D10" s="11" t="s">
        <v>22</v>
      </c>
      <c r="G10" t="s">
        <v>0</v>
      </c>
      <c r="H10" t="s">
        <v>4</v>
      </c>
      <c r="I10" t="s">
        <v>5</v>
      </c>
      <c r="K10" t="str" cm="1">
        <f t="array" ref="K10:M17">_xlfn._xlws.PY(0,0,A1:D51)</f>
        <v>Employee</v>
      </c>
      <c r="L10" t="str">
        <v>Top Project</v>
      </c>
      <c r="M10" t="str">
        <v>Total Hours</v>
      </c>
      <c r="O10" t="str" cm="1">
        <f t="array" ref="O10:Q17">_xlfn.LET(
_xlpm._data_, tblStart[],
_xlpm._totalRow_, _xlfn.HSTACK("Total","",SUM(_xlfn.CHOOSECOLS(_xlpm._data_, 3))),
_xlpm._emps_, _xlfn.UNIQUE(_xlfn.CHOOSECOLS(_xlpm._data_, 1)),
_xlpm._map_, _xlfn._xlws.SORT(_xlfn.DROP(_xlfn.REDUCE("", _xlpm._emps_, _xlfn.LAMBDA(_xlpm.state,_xlpm.e, _xlfn.LET( _xlpm.dt, _xlfn._xlws.FILTER(_xlpm._data_, _xlfn.CHOOSECOLS(_xlpm._data_, 1)=_xlpm.e), _xlpm.grp, _xlfn.GROUPBY(_xlfn.CHOOSECOLS(_xlpm.dt, 2), _xlfn.CHOOSECOLS(_xlpm.dt, 3), _xleta.SUM, 0,0), _xlpm.mx, MAX(_xlfn.CHOOSECOLS(_xlpm.grp, 2)), _xlpm.sol, _xlfn.HSTACK(_xlfn.TEXTJOIN(", ", 1, _xlfn._xlws.FILTER(_xlfn.CHOOSECOLS(_xlpm.grp, 1),_xlfn.CHOOSECOLS(_xlpm.grp, 2) &gt;= _xlpm.mx)), SUM(_xlfn.CHOOSECOLS(_xlpm.dt, 3))), _xlfn.VSTACK(_xlpm.state, _xlfn.HSTACK(_xlpm.e, _xlpm.sol))))), 1), 1),
_xlpm._res_, _xlfn.VSTACK({"Employee","Top Project","Total Hours"}, _xlpm._map_, _xlpm._totalRow_),
_xlpm._res_)</f>
        <v>Employee</v>
      </c>
      <c r="P10" t="str">
        <v>Top Project</v>
      </c>
      <c r="Q10" t="str">
        <v>Total Hours</v>
      </c>
    </row>
    <row r="11" spans="1:17" x14ac:dyDescent="0.25">
      <c r="A11" s="1" t="s">
        <v>9</v>
      </c>
      <c r="B11" s="1" t="s">
        <v>7</v>
      </c>
      <c r="C11" s="1">
        <v>2</v>
      </c>
      <c r="D11" s="11" t="s">
        <v>22</v>
      </c>
      <c r="G11" t="s">
        <v>9</v>
      </c>
      <c r="H11" t="s">
        <v>10</v>
      </c>
      <c r="I11">
        <v>33</v>
      </c>
      <c r="K11" t="str">
        <v>Amit</v>
      </c>
      <c r="L11" t="str">
        <v>Gamma</v>
      </c>
      <c r="M11">
        <v>33</v>
      </c>
      <c r="O11" t="str">
        <v>Amit</v>
      </c>
      <c r="P11" t="str">
        <v>Gamma</v>
      </c>
      <c r="Q11">
        <v>33</v>
      </c>
    </row>
    <row r="12" spans="1:17" x14ac:dyDescent="0.25">
      <c r="A12" s="1" t="s">
        <v>16</v>
      </c>
      <c r="B12" s="1" t="s">
        <v>10</v>
      </c>
      <c r="C12" s="1">
        <v>6</v>
      </c>
      <c r="D12" s="11" t="s">
        <v>23</v>
      </c>
      <c r="G12" t="s">
        <v>6</v>
      </c>
      <c r="H12" t="s">
        <v>13</v>
      </c>
      <c r="I12">
        <v>57</v>
      </c>
      <c r="K12" t="str">
        <v>Asha</v>
      </c>
      <c r="L12" t="str">
        <v>Alpha, Beta, Gamma</v>
      </c>
      <c r="M12">
        <v>57</v>
      </c>
      <c r="O12" t="str">
        <v>Asha</v>
      </c>
      <c r="P12" t="str">
        <v>Alpha, Beta, Gamma</v>
      </c>
      <c r="Q12">
        <v>57</v>
      </c>
    </row>
    <row r="13" spans="1:17" x14ac:dyDescent="0.25">
      <c r="A13" s="1" t="s">
        <v>19</v>
      </c>
      <c r="B13" s="1" t="s">
        <v>12</v>
      </c>
      <c r="C13" s="1">
        <v>3</v>
      </c>
      <c r="D13" s="11" t="s">
        <v>23</v>
      </c>
      <c r="G13" t="s">
        <v>14</v>
      </c>
      <c r="H13" t="s">
        <v>7</v>
      </c>
      <c r="I13">
        <v>36</v>
      </c>
      <c r="K13" t="str">
        <v>Neha</v>
      </c>
      <c r="L13" t="str">
        <v>Alpha</v>
      </c>
      <c r="M13">
        <v>36</v>
      </c>
      <c r="O13" t="str">
        <v>Neha</v>
      </c>
      <c r="P13" t="str">
        <v>Alpha</v>
      </c>
      <c r="Q13">
        <v>36</v>
      </c>
    </row>
    <row r="14" spans="1:17" x14ac:dyDescent="0.25">
      <c r="A14" s="1" t="s">
        <v>6</v>
      </c>
      <c r="B14" s="1" t="s">
        <v>7</v>
      </c>
      <c r="C14" s="1">
        <v>4</v>
      </c>
      <c r="D14" s="11" t="s">
        <v>24</v>
      </c>
      <c r="G14" t="s">
        <v>16</v>
      </c>
      <c r="H14" t="s">
        <v>12</v>
      </c>
      <c r="I14">
        <v>27</v>
      </c>
      <c r="K14" t="str">
        <v>Pooja</v>
      </c>
      <c r="L14" t="str">
        <v>Beta</v>
      </c>
      <c r="M14">
        <v>27</v>
      </c>
      <c r="O14" t="str">
        <v>Pooja</v>
      </c>
      <c r="P14" t="str">
        <v>Beta</v>
      </c>
      <c r="Q14">
        <v>27</v>
      </c>
    </row>
    <row r="15" spans="1:17" x14ac:dyDescent="0.25">
      <c r="A15" s="1" t="s">
        <v>11</v>
      </c>
      <c r="B15" s="1" t="s">
        <v>10</v>
      </c>
      <c r="C15" s="1">
        <v>5</v>
      </c>
      <c r="D15" s="11" t="s">
        <v>24</v>
      </c>
      <c r="G15" t="s">
        <v>11</v>
      </c>
      <c r="H15" t="s">
        <v>18</v>
      </c>
      <c r="I15">
        <v>36</v>
      </c>
      <c r="K15" t="str">
        <v>Ravi</v>
      </c>
      <c r="L15" t="str">
        <v>Alpha, Beta</v>
      </c>
      <c r="M15">
        <v>36</v>
      </c>
      <c r="O15" t="str">
        <v>Ravi</v>
      </c>
      <c r="P15" t="str">
        <v>Alpha, Beta</v>
      </c>
      <c r="Q15">
        <v>36</v>
      </c>
    </row>
    <row r="16" spans="1:17" x14ac:dyDescent="0.25">
      <c r="A16" s="1" t="s">
        <v>14</v>
      </c>
      <c r="B16" s="1" t="s">
        <v>7</v>
      </c>
      <c r="C16" s="1">
        <v>2</v>
      </c>
      <c r="D16" s="11" t="s">
        <v>25</v>
      </c>
      <c r="G16" t="s">
        <v>19</v>
      </c>
      <c r="H16" t="s">
        <v>7</v>
      </c>
      <c r="I16">
        <v>36</v>
      </c>
      <c r="K16" t="str">
        <v>Vikram</v>
      </c>
      <c r="L16" t="str">
        <v>Alpha</v>
      </c>
      <c r="M16">
        <v>36</v>
      </c>
      <c r="O16" t="str">
        <v>Vikram</v>
      </c>
      <c r="P16" t="str">
        <v>Alpha</v>
      </c>
      <c r="Q16">
        <v>36</v>
      </c>
    </row>
    <row r="17" spans="1:17" x14ac:dyDescent="0.25">
      <c r="A17" s="1" t="s">
        <v>9</v>
      </c>
      <c r="B17" s="1" t="s">
        <v>12</v>
      </c>
      <c r="C17" s="1">
        <v>7</v>
      </c>
      <c r="D17" s="11" t="s">
        <v>25</v>
      </c>
      <c r="G17" t="s">
        <v>21</v>
      </c>
      <c r="I17">
        <v>225</v>
      </c>
      <c r="K17" t="str">
        <v>Total</v>
      </c>
      <c r="L17" t="str">
        <v/>
      </c>
      <c r="M17">
        <v>225</v>
      </c>
      <c r="O17" t="str">
        <v>Total</v>
      </c>
      <c r="P17" t="str">
        <v/>
      </c>
      <c r="Q17">
        <v>225</v>
      </c>
    </row>
    <row r="18" spans="1:17" x14ac:dyDescent="0.25">
      <c r="A18" s="1" t="s">
        <v>16</v>
      </c>
      <c r="B18" s="1" t="s">
        <v>12</v>
      </c>
      <c r="C18" s="1">
        <v>3</v>
      </c>
      <c r="D18" s="11" t="s">
        <v>26</v>
      </c>
    </row>
    <row r="19" spans="1:17" x14ac:dyDescent="0.25">
      <c r="A19" s="1" t="s">
        <v>19</v>
      </c>
      <c r="B19" s="1" t="s">
        <v>10</v>
      </c>
      <c r="C19" s="1">
        <v>4</v>
      </c>
      <c r="D19" s="11" t="s">
        <v>26</v>
      </c>
      <c r="G19" t="b" cm="1">
        <f t="array" ref="G19:I26">tblSolution[#All]=G1:I8</f>
        <v>1</v>
      </c>
      <c r="H19" t="b">
        <v>1</v>
      </c>
      <c r="I19" t="b">
        <v>1</v>
      </c>
      <c r="K19" t="b" cm="1">
        <f t="array" ref="K19:M26">_xlfn.ANCHORARRAY(K10)=tblSolution[#All]</f>
        <v>1</v>
      </c>
      <c r="L19" t="b">
        <v>1</v>
      </c>
      <c r="M19" t="b">
        <v>1</v>
      </c>
      <c r="O19" t="b" cm="1">
        <f t="array" ref="O19:Q26">_xlfn.ANCHORARRAY(O10)=G1:I8</f>
        <v>1</v>
      </c>
      <c r="P19" t="b">
        <v>1</v>
      </c>
      <c r="Q19" t="b">
        <v>1</v>
      </c>
    </row>
    <row r="20" spans="1:17" x14ac:dyDescent="0.25">
      <c r="A20" s="1" t="s">
        <v>6</v>
      </c>
      <c r="B20" s="1" t="s">
        <v>12</v>
      </c>
      <c r="C20" s="1">
        <v>11</v>
      </c>
      <c r="D20" s="11" t="s">
        <v>27</v>
      </c>
      <c r="G20" t="b">
        <v>1</v>
      </c>
      <c r="H20" t="b">
        <v>1</v>
      </c>
      <c r="I20" t="b">
        <v>1</v>
      </c>
      <c r="K20" t="b">
        <v>1</v>
      </c>
      <c r="L20" t="b">
        <v>1</v>
      </c>
      <c r="M20" t="b">
        <v>1</v>
      </c>
      <c r="O20" t="b">
        <v>1</v>
      </c>
      <c r="P20" t="b">
        <v>1</v>
      </c>
      <c r="Q20" t="b">
        <v>1</v>
      </c>
    </row>
    <row r="21" spans="1:17" x14ac:dyDescent="0.25">
      <c r="A21" s="1" t="s">
        <v>11</v>
      </c>
      <c r="B21" s="1" t="s">
        <v>7</v>
      </c>
      <c r="C21" s="1">
        <v>2</v>
      </c>
      <c r="D21" s="11" t="s">
        <v>27</v>
      </c>
      <c r="G21" t="b">
        <v>1</v>
      </c>
      <c r="H21" t="b">
        <v>1</v>
      </c>
      <c r="I21" t="b">
        <v>1</v>
      </c>
      <c r="K21" t="b">
        <v>1</v>
      </c>
      <c r="L21" t="b">
        <v>1</v>
      </c>
      <c r="M21" t="b">
        <v>1</v>
      </c>
      <c r="O21" t="b">
        <v>1</v>
      </c>
      <c r="P21" t="b">
        <v>1</v>
      </c>
      <c r="Q21" t="b">
        <v>1</v>
      </c>
    </row>
    <row r="22" spans="1:17" x14ac:dyDescent="0.25">
      <c r="A22" s="1" t="s">
        <v>14</v>
      </c>
      <c r="B22" s="1" t="s">
        <v>10</v>
      </c>
      <c r="C22" s="1">
        <v>5</v>
      </c>
      <c r="D22" s="11" t="s">
        <v>28</v>
      </c>
      <c r="G22" t="b">
        <v>1</v>
      </c>
      <c r="H22" t="b">
        <v>1</v>
      </c>
      <c r="I22" t="b">
        <v>1</v>
      </c>
      <c r="K22" t="b">
        <v>1</v>
      </c>
      <c r="L22" t="b">
        <v>1</v>
      </c>
      <c r="M22" t="b">
        <v>1</v>
      </c>
      <c r="O22" t="b">
        <v>1</v>
      </c>
      <c r="P22" t="b">
        <v>1</v>
      </c>
      <c r="Q22" t="b">
        <v>1</v>
      </c>
    </row>
    <row r="23" spans="1:17" x14ac:dyDescent="0.25">
      <c r="A23" s="1" t="s">
        <v>9</v>
      </c>
      <c r="B23" s="1" t="s">
        <v>7</v>
      </c>
      <c r="C23" s="1">
        <v>3</v>
      </c>
      <c r="D23" s="11" t="s">
        <v>28</v>
      </c>
      <c r="G23" t="b">
        <v>1</v>
      </c>
      <c r="H23" t="b">
        <v>1</v>
      </c>
      <c r="I23" t="b">
        <v>1</v>
      </c>
      <c r="K23" t="b">
        <v>1</v>
      </c>
      <c r="L23" t="b">
        <v>1</v>
      </c>
      <c r="M23" t="b">
        <v>1</v>
      </c>
      <c r="O23" t="b">
        <v>1</v>
      </c>
      <c r="P23" t="b">
        <v>1</v>
      </c>
      <c r="Q23" t="b">
        <v>1</v>
      </c>
    </row>
    <row r="24" spans="1:17" x14ac:dyDescent="0.25">
      <c r="A24" s="1" t="s">
        <v>16</v>
      </c>
      <c r="B24" s="1" t="s">
        <v>7</v>
      </c>
      <c r="C24" s="1">
        <v>4</v>
      </c>
      <c r="D24" s="11" t="s">
        <v>29</v>
      </c>
      <c r="G24" t="b">
        <v>1</v>
      </c>
      <c r="H24" t="b">
        <v>1</v>
      </c>
      <c r="I24" t="b">
        <v>1</v>
      </c>
      <c r="K24" t="b">
        <v>1</v>
      </c>
      <c r="L24" t="b">
        <v>1</v>
      </c>
      <c r="M24" t="b">
        <v>1</v>
      </c>
      <c r="O24" t="b">
        <v>1</v>
      </c>
      <c r="P24" t="b">
        <v>1</v>
      </c>
      <c r="Q24" t="b">
        <v>1</v>
      </c>
    </row>
    <row r="25" spans="1:17" x14ac:dyDescent="0.25">
      <c r="A25" s="1" t="s">
        <v>19</v>
      </c>
      <c r="B25" s="1" t="s">
        <v>7</v>
      </c>
      <c r="C25" s="1">
        <v>6</v>
      </c>
      <c r="D25" s="11" t="s">
        <v>29</v>
      </c>
      <c r="G25" t="b">
        <v>1</v>
      </c>
      <c r="H25" t="b">
        <v>1</v>
      </c>
      <c r="I25" t="b">
        <v>1</v>
      </c>
      <c r="K25" t="b">
        <v>1</v>
      </c>
      <c r="L25" t="b">
        <v>1</v>
      </c>
      <c r="M25" t="b">
        <v>1</v>
      </c>
      <c r="O25" t="b">
        <v>1</v>
      </c>
      <c r="P25" t="b">
        <v>1</v>
      </c>
      <c r="Q25" t="b">
        <v>1</v>
      </c>
    </row>
    <row r="26" spans="1:17" x14ac:dyDescent="0.25">
      <c r="A26" s="1" t="s">
        <v>6</v>
      </c>
      <c r="B26" s="1" t="s">
        <v>10</v>
      </c>
      <c r="C26" s="1">
        <v>6</v>
      </c>
      <c r="D26" s="11" t="s">
        <v>30</v>
      </c>
      <c r="G26" t="b">
        <v>1</v>
      </c>
      <c r="H26" t="b">
        <v>1</v>
      </c>
      <c r="I26" t="b">
        <v>1</v>
      </c>
      <c r="K26" t="b">
        <v>1</v>
      </c>
      <c r="L26" t="b">
        <v>1</v>
      </c>
      <c r="M26" t="b">
        <v>1</v>
      </c>
      <c r="O26" t="b">
        <v>1</v>
      </c>
      <c r="P26" t="b">
        <v>1</v>
      </c>
      <c r="Q26" t="b">
        <v>1</v>
      </c>
    </row>
    <row r="27" spans="1:17" x14ac:dyDescent="0.25">
      <c r="A27" s="1" t="s">
        <v>11</v>
      </c>
      <c r="B27" s="1" t="s">
        <v>12</v>
      </c>
      <c r="C27" s="1">
        <v>5</v>
      </c>
      <c r="D27" s="11" t="s">
        <v>30</v>
      </c>
    </row>
    <row r="28" spans="1:17" x14ac:dyDescent="0.25">
      <c r="A28" s="1" t="s">
        <v>14</v>
      </c>
      <c r="B28" s="1" t="s">
        <v>7</v>
      </c>
      <c r="C28" s="1">
        <v>7</v>
      </c>
      <c r="D28" s="11" t="s">
        <v>31</v>
      </c>
    </row>
    <row r="29" spans="1:17" x14ac:dyDescent="0.25">
      <c r="A29" s="1" t="s">
        <v>9</v>
      </c>
      <c r="B29" s="1" t="s">
        <v>10</v>
      </c>
      <c r="C29" s="1">
        <v>4</v>
      </c>
      <c r="D29" s="11" t="s">
        <v>31</v>
      </c>
    </row>
    <row r="30" spans="1:17" x14ac:dyDescent="0.25">
      <c r="A30" s="1" t="s">
        <v>16</v>
      </c>
      <c r="B30" s="1" t="s">
        <v>12</v>
      </c>
      <c r="C30" s="1">
        <v>3</v>
      </c>
      <c r="D30" s="11" t="s">
        <v>32</v>
      </c>
    </row>
    <row r="31" spans="1:17" x14ac:dyDescent="0.25">
      <c r="A31" s="1" t="s">
        <v>19</v>
      </c>
      <c r="B31" s="1" t="s">
        <v>12</v>
      </c>
      <c r="C31" s="1">
        <v>2</v>
      </c>
      <c r="D31" s="11" t="s">
        <v>32</v>
      </c>
    </row>
    <row r="32" spans="1:17" x14ac:dyDescent="0.25">
      <c r="A32" s="1" t="s">
        <v>6</v>
      </c>
      <c r="B32" s="1" t="s">
        <v>7</v>
      </c>
      <c r="C32" s="1">
        <v>6</v>
      </c>
      <c r="D32" s="11" t="s">
        <v>33</v>
      </c>
    </row>
    <row r="33" spans="1:4" x14ac:dyDescent="0.25">
      <c r="A33" s="1" t="s">
        <v>11</v>
      </c>
      <c r="B33" s="1" t="s">
        <v>10</v>
      </c>
      <c r="C33" s="1">
        <v>3</v>
      </c>
      <c r="D33" s="11" t="s">
        <v>33</v>
      </c>
    </row>
    <row r="34" spans="1:4" x14ac:dyDescent="0.25">
      <c r="A34" s="1" t="s">
        <v>14</v>
      </c>
      <c r="B34" s="1" t="s">
        <v>12</v>
      </c>
      <c r="C34" s="1">
        <v>5</v>
      </c>
      <c r="D34" s="11" t="s">
        <v>34</v>
      </c>
    </row>
    <row r="35" spans="1:4" x14ac:dyDescent="0.25">
      <c r="A35" s="1" t="s">
        <v>9</v>
      </c>
      <c r="B35" s="1" t="s">
        <v>7</v>
      </c>
      <c r="C35" s="1">
        <v>4</v>
      </c>
      <c r="D35" s="11" t="s">
        <v>34</v>
      </c>
    </row>
    <row r="36" spans="1:4" x14ac:dyDescent="0.25">
      <c r="A36" s="1" t="s">
        <v>16</v>
      </c>
      <c r="B36" s="1" t="s">
        <v>10</v>
      </c>
      <c r="C36" s="1">
        <v>2</v>
      </c>
      <c r="D36" s="11" t="s">
        <v>35</v>
      </c>
    </row>
    <row r="37" spans="1:4" x14ac:dyDescent="0.25">
      <c r="A37" s="1" t="s">
        <v>19</v>
      </c>
      <c r="B37" s="1" t="s">
        <v>7</v>
      </c>
      <c r="C37" s="1">
        <v>7</v>
      </c>
      <c r="D37" s="11" t="s">
        <v>35</v>
      </c>
    </row>
    <row r="38" spans="1:4" x14ac:dyDescent="0.25">
      <c r="A38" s="1" t="s">
        <v>6</v>
      </c>
      <c r="B38" s="1" t="s">
        <v>12</v>
      </c>
      <c r="C38" s="1">
        <v>8</v>
      </c>
      <c r="D38" s="11" t="s">
        <v>36</v>
      </c>
    </row>
    <row r="39" spans="1:4" x14ac:dyDescent="0.25">
      <c r="A39" s="1" t="s">
        <v>11</v>
      </c>
      <c r="B39" s="1" t="s">
        <v>7</v>
      </c>
      <c r="C39" s="1">
        <v>4</v>
      </c>
      <c r="D39" s="11" t="s">
        <v>36</v>
      </c>
    </row>
    <row r="40" spans="1:4" x14ac:dyDescent="0.25">
      <c r="A40" s="1" t="s">
        <v>14</v>
      </c>
      <c r="B40" s="1" t="s">
        <v>10</v>
      </c>
      <c r="C40" s="1">
        <v>6</v>
      </c>
      <c r="D40" s="11" t="s">
        <v>37</v>
      </c>
    </row>
    <row r="41" spans="1:4" x14ac:dyDescent="0.25">
      <c r="A41" s="1" t="s">
        <v>9</v>
      </c>
      <c r="B41" s="1" t="s">
        <v>12</v>
      </c>
      <c r="C41" s="1">
        <v>2</v>
      </c>
      <c r="D41" s="11" t="s">
        <v>37</v>
      </c>
    </row>
    <row r="42" spans="1:4" x14ac:dyDescent="0.25">
      <c r="A42" s="1" t="s">
        <v>16</v>
      </c>
      <c r="B42" s="1" t="s">
        <v>12</v>
      </c>
      <c r="C42" s="1">
        <v>5</v>
      </c>
      <c r="D42" s="11" t="s">
        <v>38</v>
      </c>
    </row>
    <row r="43" spans="1:4" x14ac:dyDescent="0.25">
      <c r="A43" s="1" t="s">
        <v>19</v>
      </c>
      <c r="B43" s="1" t="s">
        <v>10</v>
      </c>
      <c r="C43" s="1">
        <v>3</v>
      </c>
      <c r="D43" s="11" t="s">
        <v>38</v>
      </c>
    </row>
    <row r="44" spans="1:4" x14ac:dyDescent="0.25">
      <c r="A44" s="1" t="s">
        <v>6</v>
      </c>
      <c r="B44" s="1" t="s">
        <v>7</v>
      </c>
      <c r="C44" s="1">
        <v>4</v>
      </c>
      <c r="D44" s="11" t="s">
        <v>39</v>
      </c>
    </row>
    <row r="45" spans="1:4" x14ac:dyDescent="0.25">
      <c r="A45" s="1" t="s">
        <v>11</v>
      </c>
      <c r="B45" s="1" t="s">
        <v>12</v>
      </c>
      <c r="C45" s="1">
        <v>6</v>
      </c>
      <c r="D45" s="11" t="s">
        <v>39</v>
      </c>
    </row>
    <row r="46" spans="1:4" x14ac:dyDescent="0.25">
      <c r="A46" s="1" t="s">
        <v>14</v>
      </c>
      <c r="B46" s="1" t="s">
        <v>7</v>
      </c>
      <c r="C46" s="1">
        <v>3</v>
      </c>
      <c r="D46" s="11" t="s">
        <v>40</v>
      </c>
    </row>
    <row r="47" spans="1:4" x14ac:dyDescent="0.25">
      <c r="A47" s="1" t="s">
        <v>9</v>
      </c>
      <c r="B47" s="1" t="s">
        <v>10</v>
      </c>
      <c r="C47" s="1">
        <v>5</v>
      </c>
      <c r="D47" s="11" t="s">
        <v>40</v>
      </c>
    </row>
    <row r="48" spans="1:4" x14ac:dyDescent="0.25">
      <c r="A48" s="1" t="s">
        <v>16</v>
      </c>
      <c r="B48" s="1" t="s">
        <v>7</v>
      </c>
      <c r="C48" s="1">
        <v>2</v>
      </c>
      <c r="D48" s="11" t="s">
        <v>41</v>
      </c>
    </row>
    <row r="49" spans="1:4" x14ac:dyDescent="0.25">
      <c r="A49" s="1" t="s">
        <v>19</v>
      </c>
      <c r="B49" s="1" t="s">
        <v>7</v>
      </c>
      <c r="C49" s="1">
        <v>4</v>
      </c>
      <c r="D49" s="11" t="s">
        <v>41</v>
      </c>
    </row>
    <row r="50" spans="1:4" x14ac:dyDescent="0.25">
      <c r="A50" s="1" t="s">
        <v>6</v>
      </c>
      <c r="B50" s="1" t="s">
        <v>10</v>
      </c>
      <c r="C50" s="1">
        <v>7</v>
      </c>
      <c r="D50" s="11" t="s">
        <v>42</v>
      </c>
    </row>
    <row r="51" spans="1:4" x14ac:dyDescent="0.25">
      <c r="A51" s="1" t="s">
        <v>11</v>
      </c>
      <c r="B51" s="1" t="s">
        <v>7</v>
      </c>
      <c r="C51" s="1">
        <v>3</v>
      </c>
      <c r="D51" s="11" t="s">
        <v>42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0D1AF7-585D-4B0F-B280-523C4E1F484A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372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2026-03-25T18:10:42Z</dcterms:modified>
  <cp:category/>
  <cp:contentStatus/>
</cp:coreProperties>
</file>