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2"/>
  <workbookPr/>
  <mc:AlternateContent xmlns:mc="http://schemas.openxmlformats.org/markup-compatibility/2006">
    <mc:Choice Requires="x15">
      <x15ac:absPath xmlns:x15ac="http://schemas.microsoft.com/office/spreadsheetml/2010/11/ac" url="https://d.docs.live.net/29f448ec057303af/== Github Repos/Challenges/Excel BI Challenges/Power Query/"/>
    </mc:Choice>
  </mc:AlternateContent>
  <xr:revisionPtr revIDLastSave="88" documentId="8_{D86DB55E-1507-4F84-8472-D32F9FD73198}" xr6:coauthVersionLast="47" xr6:coauthVersionMax="47" xr10:uidLastSave="{DA00C688-3DBA-4617-BFAE-5693F1F93F16}"/>
  <bookViews>
    <workbookView xWindow="-120" yWindow="-120" windowWidth="51840" windowHeight="21120" xr2:uid="{00000000-000D-0000-FFFF-FFFF00000000}"/>
  </bookViews>
  <sheets>
    <sheet name="391" sheetId="1" r:id="rId1"/>
  </sheets>
  <definedNames>
    <definedName name="_xlnm._FilterDatabase" localSheetId="0" hidden="1">'391'!$D$1:$E$1</definedName>
    <definedName name="ExternalData_1" localSheetId="0" hidden="1">'391'!$D$23:$E$31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 l="1" a="1"/>
  <c r="G43" i="1" s="1" a="1"/>
  <c r="D33" i="1" a="1"/>
  <c r="G33" i="1" s="1" a="1"/>
  <c r="G23"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CB95B3-8964-45BE-95ED-A8A594DD38A1}" keepAlive="1" name="Zapytanie — tblSolution" description="Połączenie z zapytaniem „tblSolution” w skoroszycie." type="5" refreshedVersion="8" background="1" saveData="1">
    <dbPr connection="Provider=Microsoft.Mashup.OleDb.1;Data Source=$Workbook$;Location=tblSolution;Extended Properties=&quot;&quot;" command="SELECT * FROM [tblSolu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df = xl(%P2%, headers = True)
promos = xl(%P3%, headers = True)
promos_sorted = promos.sort_values(
    by = ["Items_Needed", "Promo_Name"],
    ascending = [False, True],
    key = lambda col: col.str.split(", ").str.len() if col.name == "Items_Needed" else col
)
def fxGetPromo(x):
    m = promos_sorted["Items_Needed"].apply(lambda r: str(r) in x if pd.notna(r) else False)
    f = promos_sorted[m]
    return "No Promo" if f.empty else f["Promo_Name"].iloc[0]
df_grouped = df.groupby("Order_ID")["Item_Code"].agg(lambda x: fxGetPromo(", ".join(sorted(x)))).reset_index().rename(columns = {"Item_Code": "Applied_Promo"})</code>
    </pythonScript>
  </pythonScripts>
</python>
</file>

<file path=xl/sharedStrings.xml><?xml version="1.0" encoding="utf-8"?>
<sst xmlns="http://schemas.openxmlformats.org/spreadsheetml/2006/main" count="108" uniqueCount="34">
  <si>
    <t>Order_ID</t>
  </si>
  <si>
    <t>Item_Code</t>
  </si>
  <si>
    <t>Promo_Name</t>
  </si>
  <si>
    <t>Items_Needed</t>
  </si>
  <si>
    <t>O-101</t>
  </si>
  <si>
    <t>P-01</t>
  </si>
  <si>
    <t>Mega Bundle</t>
  </si>
  <si>
    <t>P-01, P-02, P-03, P-04</t>
  </si>
  <si>
    <t>P-02</t>
  </si>
  <si>
    <t>Triple Play</t>
  </si>
  <si>
    <t>P-01, P-02, P-03</t>
  </si>
  <si>
    <t>P-03</t>
  </si>
  <si>
    <t>Starter Kit</t>
  </si>
  <si>
    <t>P-01, P-02</t>
  </si>
  <si>
    <t>P-04</t>
  </si>
  <si>
    <t>Odds Pack</t>
  </si>
  <si>
    <t>P-01, P-03, P-05, P-07</t>
  </si>
  <si>
    <t>P-09</t>
  </si>
  <si>
    <t>Evens Pack</t>
  </si>
  <si>
    <t>P-02, P-04, P-06, P-08</t>
  </si>
  <si>
    <t>O-102</t>
  </si>
  <si>
    <t>End of Line</t>
  </si>
  <si>
    <t>P-08, P-09</t>
  </si>
  <si>
    <t>O-103</t>
  </si>
  <si>
    <t>O-104</t>
  </si>
  <si>
    <t>Applied_Promo</t>
  </si>
  <si>
    <t>P-05</t>
  </si>
  <si>
    <t>O-105</t>
  </si>
  <si>
    <t>P-08</t>
  </si>
  <si>
    <t>No Promo</t>
  </si>
  <si>
    <t>O-106</t>
  </si>
  <si>
    <t>O-107</t>
  </si>
  <si>
    <t>P-07</t>
  </si>
  <si>
    <t>O-108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</si>
</sst>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bgColor theme="5"/>
      </patternFill>
    </fill>
    <fill>
      <patternFill patternType="solid">
        <fgColor theme="9"/>
        <bgColor theme="9"/>
      </patternFill>
    </fill>
  </fills>
  <borders count="6">
    <border>
      <left/>
      <right/>
      <top/>
      <bottom/>
      <diagonal/>
    </border>
    <border>
      <left style="thin">
        <color theme="9"/>
      </left>
      <right/>
      <top style="thin">
        <color theme="9"/>
      </top>
      <bottom style="thin">
        <color theme="9"/>
      </bottom>
      <diagonal/>
    </border>
    <border>
      <left style="thin">
        <color theme="9"/>
      </left>
      <right/>
      <top style="thin">
        <color theme="9"/>
      </top>
      <bottom/>
      <diagonal/>
    </border>
    <border>
      <left/>
      <right style="thin">
        <color theme="9"/>
      </right>
      <top style="thin">
        <color theme="9"/>
      </top>
      <bottom style="thin">
        <color theme="9"/>
      </bottom>
      <diagonal/>
    </border>
    <border>
      <left/>
      <right style="thin">
        <color theme="9"/>
      </right>
      <top style="thin">
        <color theme="9"/>
      </top>
      <bottom/>
      <diagonal/>
    </border>
    <border>
      <left/>
      <right/>
      <top style="thin">
        <color theme="5"/>
      </top>
      <bottom/>
      <diagonal/>
    </border>
  </borders>
  <cellStyleXfs count="1">
    <xf numFmtId="0" fontId="0" fillId="0" borderId="0"/>
  </cellStyleXfs>
  <cellXfs count="9">
    <xf numFmtId="0" fontId="0" fillId="0" borderId="0" xfId="0"/>
    <xf numFmtId="0" fontId="0" fillId="0" borderId="1" xfId="0" applyBorder="1"/>
    <xf numFmtId="0" fontId="0" fillId="0" borderId="3" xfId="0" applyBorder="1"/>
    <xf numFmtId="0" fontId="1" fillId="3" borderId="2" xfId="0" applyFont="1" applyFill="1" applyBorder="1"/>
    <xf numFmtId="0" fontId="1" fillId="3" borderId="4" xfId="0" applyFont="1" applyFill="1" applyBorder="1"/>
    <xf numFmtId="0" fontId="0" fillId="0" borderId="2" xfId="0" applyBorder="1"/>
    <xf numFmtId="0" fontId="0" fillId="0" borderId="4" xfId="0" applyBorder="1"/>
    <xf numFmtId="0" fontId="0" fillId="0" borderId="5" xfId="0" applyBorder="1"/>
    <xf numFmtId="0" fontId="1" fillId="2" borderId="0" xfId="0" applyFont="1" applyFill="1" applyBorder="1"/>
  </cellXfs>
  <cellStyles count="1">
    <cellStyle name="Normalny" xfId="0" builtinId="0"/>
  </cellStyles>
  <dxfs count="8">
    <dxf>
      <border diagonalUp="0" diagonalDown="0">
        <left/>
        <right/>
        <top style="thin">
          <color theme="5"/>
        </top>
        <bottom/>
        <vertical/>
        <horizontal/>
      </border>
    </dxf>
    <dxf>
      <font>
        <b/>
        <i val="0"/>
        <strike val="0"/>
        <condense val="0"/>
        <extend val="0"/>
        <outline val="0"/>
        <shadow val="0"/>
        <u val="none"/>
        <vertAlign val="baseline"/>
        <sz val="11"/>
        <color theme="0"/>
        <name val="Calibri"/>
        <family val="2"/>
        <scheme val="minor"/>
      </font>
      <fill>
        <patternFill patternType="solid">
          <fgColor theme="5"/>
          <bgColor theme="5"/>
        </patternFill>
      </fill>
    </dxf>
    <dxf>
      <border diagonalUp="0" diagonalDown="0">
        <left/>
        <right/>
        <top style="thin">
          <color theme="5"/>
        </top>
        <bottom/>
        <vertical/>
        <horizontal/>
      </border>
    </dxf>
    <dxf>
      <border outline="0">
        <left style="thin">
          <color theme="5"/>
        </left>
        <right style="thin">
          <color theme="5"/>
        </right>
        <top style="thin">
          <color theme="5"/>
        </top>
        <bottom style="thin">
          <color theme="5"/>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dxf>
    <dxf>
      <border diagonalUp="0" diagonalDown="0">
        <left/>
        <right/>
        <top style="thin">
          <color theme="5"/>
        </top>
        <bottom/>
        <vertical/>
        <horizontal/>
      </border>
    </dxf>
    <dxf>
      <border diagonalUp="0" diagonalDown="0">
        <left/>
        <right/>
        <top style="thin">
          <color theme="5"/>
        </top>
        <bottom/>
        <vertical/>
        <horizontal/>
      </border>
    </dxf>
    <dxf>
      <border outline="0">
        <left style="thin">
          <color theme="5"/>
        </left>
        <right style="thin">
          <color theme="5"/>
        </right>
        <top style="thin">
          <color theme="5"/>
        </top>
        <bottom style="thin">
          <color theme="5"/>
        </bottom>
      </border>
    </dxf>
  </dxfs>
  <tableStyles count="1" defaultTableStyle="TableStyleMedium2" defaultPivotStyle="PivotStyleLight16">
    <tableStyle name="Invisible" pivot="0" table="0" count="0" xr9:uid="{F4152214-71B0-4E2D-9E14-27A4BE16869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23/09/relationships/Python" Target="python.xml"/></Relationships>
</file>

<file path=xl/drawings/drawing1.xml><?xml version="1.0" encoding="utf-8"?>
<xdr:wsDr xmlns:xdr="http://schemas.openxmlformats.org/drawingml/2006/spreadsheetDrawing" xmlns:a="http://schemas.openxmlformats.org/drawingml/2006/main">
  <xdr:twoCellAnchor>
    <xdr:from>
      <xdr:col>13</xdr:col>
      <xdr:colOff>133350</xdr:colOff>
      <xdr:row>8</xdr:row>
      <xdr:rowOff>136525</xdr:rowOff>
    </xdr:from>
    <xdr:to>
      <xdr:col>26</xdr:col>
      <xdr:colOff>276225</xdr:colOff>
      <xdr:row>22</xdr:row>
      <xdr:rowOff>53975</xdr:rowOff>
    </xdr:to>
    <xdr:sp macro="" textlink="">
      <xdr:nvSpPr>
        <xdr:cNvPr id="4" name="Rectangle: Rounded Corners 3">
          <a:extLst>
            <a:ext uri="{FF2B5EF4-FFF2-40B4-BE49-F238E27FC236}">
              <a16:creationId xmlns:a16="http://schemas.microsoft.com/office/drawing/2014/main" id="{A12F6BCF-0F2B-E844-A661-FBF396E83E25}"/>
            </a:ext>
          </a:extLst>
        </xdr:cNvPr>
        <xdr:cNvSpPr/>
      </xdr:nvSpPr>
      <xdr:spPr>
        <a:xfrm>
          <a:off x="8677275" y="1660525"/>
          <a:ext cx="8067675" cy="25844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1. An order qualifies for a promo only if it contains ALL the items listed in the Items_Needed string for that promo. (e.g., O-102 has P-01, P-02, P-03, meaning it contains all items for the "Starter Kit" AND the "Triple Play").</a:t>
          </a:r>
        </a:p>
        <a:p>
          <a:pPr algn="l"/>
          <a:r>
            <a:rPr lang="en-IN" sz="1200" b="1"/>
            <a:t>2. Prioritization: If an order qualifies for multiple promos, you must assign the promo that requires the highest number of items. (e.g., between "Starter Kit" (2 items) and "Triple Play" (3 items), "Triple Play" wins).</a:t>
          </a:r>
        </a:p>
        <a:p>
          <a:pPr algn="l"/>
          <a:r>
            <a:rPr lang="en-IN" sz="1200" b="1"/>
            <a:t>3. Tie-Breaker: If multiple qualifying promos have the exact same number of required items, break the tie by choosing the Promo_Name that comes first alphabetically.</a:t>
          </a:r>
        </a:p>
        <a:p>
          <a:pPr algn="l"/>
          <a:r>
            <a:rPr lang="en-IN" sz="1200" b="1"/>
            <a:t>4. Fallback: If an order does not qualify for any promo, return "No Promo".</a:t>
          </a:r>
        </a:p>
        <a:p>
          <a:pPr algn="l"/>
          <a:r>
            <a:rPr lang="en-IN" sz="1200" b="1"/>
            <a:t>5. The final output should have exactly one row per Order_ID, displaying the Order_ID and the Applied_Promo.</a:t>
          </a:r>
        </a:p>
        <a:p>
          <a:pPr algn="l"/>
          <a:r>
            <a:rPr lang="en-IN" sz="1200" b="1"/>
            <a:t>List Order_ID and its corresponding Applied_Promo</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D610D5-FD95-4D59-95F5-FF1EE732641A}" autoFormatId="16" applyNumberFormats="0" applyBorderFormats="0" applyFontFormats="0" applyPatternFormats="0" applyAlignmentFormats="0" applyWidthHeightFormats="0">
  <queryTableRefresh nextId="4">
    <queryTableFields count="2">
      <queryTableField id="1" name="Order_ID" tableColumnId="1"/>
      <queryTableField id="3" name="Applied_Promo" tableColumnId="3"/>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FCF76-2825-4909-9A54-91F82FADD98C}" name="tblStart" displayName="tblStart" ref="A1:B29" totalsRowShown="0" headerRowDxfId="4" tableBorderDxfId="7">
  <autoFilter ref="A1:B29" xr:uid="{BF9FCF76-2825-4909-9A54-91F82FADD98C}"/>
  <tableColumns count="2">
    <tableColumn id="1" xr3:uid="{E583BE5C-BA92-4FEC-AC7A-F90D0747B22C}" name="Order_ID" dataDxfId="6"/>
    <tableColumn id="2" xr3:uid="{EFE150E1-68D9-4338-929C-CBEBDB038145}" name="Item_Code"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09BCB6-AB1D-4BDE-9C05-431865FBB74D}" name="tblPromos" displayName="tblPromos" ref="D1:E7" totalsRowShown="0" headerRowDxfId="1" tableBorderDxfId="3">
  <autoFilter ref="D1:E7" xr:uid="{3109BCB6-AB1D-4BDE-9C05-431865FBB74D}"/>
  <tableColumns count="2">
    <tableColumn id="1" xr3:uid="{2065B9F3-6D46-4A34-A66B-5E7200406FC3}" name="Promo_Name" dataDxfId="2"/>
    <tableColumn id="3" xr3:uid="{28B14A13-BC6D-407D-BF10-84B0E53EF089}" name="Items_Needed"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49C331-68F3-403C-BBA2-3357331FE1F4}" name="tblSolution" displayName="tblSolution" ref="D23:E31" tableType="queryTable" totalsRowShown="0">
  <autoFilter ref="D23:E31" xr:uid="{EE49C331-68F3-403C-BBA2-3357331FE1F4}"/>
  <tableColumns count="2">
    <tableColumn id="1" xr3:uid="{937B8A2B-4037-48FB-B79F-1D938BCF7522}" uniqueName="1" name="Order_ID" queryTableFieldId="1"/>
    <tableColumn id="3" xr3:uid="{24BB65C6-A35A-4C9D-8DCF-ADC47EDB1078}" uniqueName="3" name="Applied_Promo"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21" workbookViewId="0">
      <selection activeCell="R29" sqref="R29"/>
    </sheetView>
  </sheetViews>
  <sheetFormatPr defaultRowHeight="15" x14ac:dyDescent="0.25"/>
  <cols>
    <col min="1" max="1" width="11.140625" customWidth="1"/>
    <col min="2" max="2" width="12.85546875" customWidth="1"/>
    <col min="4" max="4" width="11.28515625" bestFit="1" customWidth="1"/>
    <col min="5" max="5" width="19.28515625" customWidth="1"/>
    <col min="6" max="6" width="13.85546875" bestFit="1" customWidth="1"/>
  </cols>
  <sheetData>
    <row r="1" spans="1:5" x14ac:dyDescent="0.25">
      <c r="A1" s="8" t="s">
        <v>0</v>
      </c>
      <c r="B1" s="8" t="s">
        <v>1</v>
      </c>
      <c r="D1" s="8" t="s">
        <v>2</v>
      </c>
      <c r="E1" s="8" t="s">
        <v>3</v>
      </c>
    </row>
    <row r="2" spans="1:5" x14ac:dyDescent="0.25">
      <c r="A2" s="7" t="s">
        <v>4</v>
      </c>
      <c r="B2" s="7" t="s">
        <v>5</v>
      </c>
      <c r="D2" s="7" t="s">
        <v>6</v>
      </c>
      <c r="E2" s="7" t="s">
        <v>7</v>
      </c>
    </row>
    <row r="3" spans="1:5" x14ac:dyDescent="0.25">
      <c r="A3" s="7" t="s">
        <v>4</v>
      </c>
      <c r="B3" s="7" t="s">
        <v>8</v>
      </c>
      <c r="D3" s="7" t="s">
        <v>9</v>
      </c>
      <c r="E3" s="7" t="s">
        <v>10</v>
      </c>
    </row>
    <row r="4" spans="1:5" x14ac:dyDescent="0.25">
      <c r="A4" s="7" t="s">
        <v>4</v>
      </c>
      <c r="B4" s="7" t="s">
        <v>11</v>
      </c>
      <c r="D4" s="7" t="s">
        <v>12</v>
      </c>
      <c r="E4" s="7" t="s">
        <v>13</v>
      </c>
    </row>
    <row r="5" spans="1:5" x14ac:dyDescent="0.25">
      <c r="A5" s="7" t="s">
        <v>4</v>
      </c>
      <c r="B5" s="7" t="s">
        <v>14</v>
      </c>
      <c r="D5" s="7" t="s">
        <v>15</v>
      </c>
      <c r="E5" s="7" t="s">
        <v>16</v>
      </c>
    </row>
    <row r="6" spans="1:5" x14ac:dyDescent="0.25">
      <c r="A6" s="7" t="s">
        <v>4</v>
      </c>
      <c r="B6" s="7" t="s">
        <v>17</v>
      </c>
      <c r="D6" s="7" t="s">
        <v>18</v>
      </c>
      <c r="E6" s="7" t="s">
        <v>19</v>
      </c>
    </row>
    <row r="7" spans="1:5" x14ac:dyDescent="0.25">
      <c r="A7" s="7" t="s">
        <v>20</v>
      </c>
      <c r="B7" s="7" t="s">
        <v>5</v>
      </c>
      <c r="D7" s="7" t="s">
        <v>21</v>
      </c>
      <c r="E7" s="7" t="s">
        <v>22</v>
      </c>
    </row>
    <row r="8" spans="1:5" x14ac:dyDescent="0.25">
      <c r="A8" s="7" t="s">
        <v>20</v>
      </c>
      <c r="B8" s="7" t="s">
        <v>8</v>
      </c>
    </row>
    <row r="9" spans="1:5" x14ac:dyDescent="0.25">
      <c r="A9" s="7" t="s">
        <v>20</v>
      </c>
      <c r="B9" s="7" t="s">
        <v>11</v>
      </c>
    </row>
    <row r="10" spans="1:5" x14ac:dyDescent="0.25">
      <c r="A10" s="7" t="s">
        <v>23</v>
      </c>
      <c r="B10" s="7" t="s">
        <v>5</v>
      </c>
    </row>
    <row r="11" spans="1:5" x14ac:dyDescent="0.25">
      <c r="A11" s="7" t="s">
        <v>23</v>
      </c>
      <c r="B11" s="7" t="s">
        <v>8</v>
      </c>
    </row>
    <row r="12" spans="1:5" x14ac:dyDescent="0.25">
      <c r="A12" s="7" t="s">
        <v>24</v>
      </c>
      <c r="B12" s="7" t="s">
        <v>11</v>
      </c>
      <c r="D12" s="3" t="s">
        <v>0</v>
      </c>
      <c r="E12" s="4" t="s">
        <v>25</v>
      </c>
    </row>
    <row r="13" spans="1:5" x14ac:dyDescent="0.25">
      <c r="A13" s="7" t="s">
        <v>24</v>
      </c>
      <c r="B13" s="7" t="s">
        <v>14</v>
      </c>
      <c r="D13" s="5" t="s">
        <v>4</v>
      </c>
      <c r="E13" s="6" t="s">
        <v>6</v>
      </c>
    </row>
    <row r="14" spans="1:5" x14ac:dyDescent="0.25">
      <c r="A14" s="7" t="s">
        <v>24</v>
      </c>
      <c r="B14" s="7" t="s">
        <v>26</v>
      </c>
      <c r="D14" s="5" t="s">
        <v>20</v>
      </c>
      <c r="E14" s="6" t="s">
        <v>9</v>
      </c>
    </row>
    <row r="15" spans="1:5" x14ac:dyDescent="0.25">
      <c r="A15" s="7" t="s">
        <v>27</v>
      </c>
      <c r="B15" s="7" t="s">
        <v>28</v>
      </c>
      <c r="D15" s="5" t="s">
        <v>23</v>
      </c>
      <c r="E15" s="6" t="s">
        <v>12</v>
      </c>
    </row>
    <row r="16" spans="1:5" x14ac:dyDescent="0.25">
      <c r="A16" s="7" t="s">
        <v>27</v>
      </c>
      <c r="B16" s="7" t="s">
        <v>17</v>
      </c>
      <c r="D16" s="5" t="s">
        <v>24</v>
      </c>
      <c r="E16" s="6" t="s">
        <v>29</v>
      </c>
    </row>
    <row r="17" spans="1:8" x14ac:dyDescent="0.25">
      <c r="A17" s="7" t="s">
        <v>30</v>
      </c>
      <c r="B17" s="7" t="s">
        <v>5</v>
      </c>
      <c r="D17" s="5" t="s">
        <v>27</v>
      </c>
      <c r="E17" s="6" t="s">
        <v>21</v>
      </c>
    </row>
    <row r="18" spans="1:8" x14ac:dyDescent="0.25">
      <c r="A18" s="7" t="s">
        <v>30</v>
      </c>
      <c r="B18" s="7" t="s">
        <v>11</v>
      </c>
      <c r="D18" s="5" t="s">
        <v>30</v>
      </c>
      <c r="E18" s="6" t="s">
        <v>15</v>
      </c>
    </row>
    <row r="19" spans="1:8" x14ac:dyDescent="0.25">
      <c r="A19" s="7" t="s">
        <v>30</v>
      </c>
      <c r="B19" s="7" t="s">
        <v>26</v>
      </c>
      <c r="D19" s="5" t="s">
        <v>31</v>
      </c>
      <c r="E19" s="6" t="s">
        <v>6</v>
      </c>
    </row>
    <row r="20" spans="1:8" x14ac:dyDescent="0.25">
      <c r="A20" s="7" t="s">
        <v>30</v>
      </c>
      <c r="B20" s="7" t="s">
        <v>32</v>
      </c>
      <c r="D20" s="1" t="s">
        <v>33</v>
      </c>
      <c r="E20" s="2" t="s">
        <v>21</v>
      </c>
    </row>
    <row r="21" spans="1:8" x14ac:dyDescent="0.25">
      <c r="A21" s="7" t="s">
        <v>31</v>
      </c>
      <c r="B21" s="7" t="s">
        <v>5</v>
      </c>
    </row>
    <row r="22" spans="1:8" x14ac:dyDescent="0.25">
      <c r="A22" s="7" t="s">
        <v>31</v>
      </c>
      <c r="B22" s="7" t="s">
        <v>8</v>
      </c>
    </row>
    <row r="23" spans="1:8" x14ac:dyDescent="0.25">
      <c r="A23" s="7" t="s">
        <v>31</v>
      </c>
      <c r="B23" s="7" t="s">
        <v>11</v>
      </c>
      <c r="D23" t="s">
        <v>0</v>
      </c>
      <c r="E23" t="s">
        <v>25</v>
      </c>
      <c r="G23" t="b" cm="1">
        <f t="array" ref="G23:H31">tblSolution[#All]=D12:E20</f>
        <v>1</v>
      </c>
      <c r="H23" t="b">
        <v>1</v>
      </c>
    </row>
    <row r="24" spans="1:8" x14ac:dyDescent="0.25">
      <c r="A24" s="7" t="s">
        <v>31</v>
      </c>
      <c r="B24" s="7" t="s">
        <v>14</v>
      </c>
      <c r="D24" t="s">
        <v>4</v>
      </c>
      <c r="E24" t="s">
        <v>6</v>
      </c>
      <c r="G24" t="b">
        <v>1</v>
      </c>
      <c r="H24" t="b">
        <v>1</v>
      </c>
    </row>
    <row r="25" spans="1:8" x14ac:dyDescent="0.25">
      <c r="A25" s="7" t="s">
        <v>31</v>
      </c>
      <c r="B25" s="7" t="s">
        <v>26</v>
      </c>
      <c r="D25" t="s">
        <v>20</v>
      </c>
      <c r="E25" t="s">
        <v>9</v>
      </c>
      <c r="G25" t="b">
        <v>1</v>
      </c>
      <c r="H25" t="b">
        <v>1</v>
      </c>
    </row>
    <row r="26" spans="1:8" x14ac:dyDescent="0.25">
      <c r="A26" s="7" t="s">
        <v>33</v>
      </c>
      <c r="B26" s="7" t="s">
        <v>5</v>
      </c>
      <c r="D26" t="s">
        <v>23</v>
      </c>
      <c r="E26" t="s">
        <v>12</v>
      </c>
      <c r="G26" t="b">
        <v>1</v>
      </c>
      <c r="H26" t="b">
        <v>1</v>
      </c>
    </row>
    <row r="27" spans="1:8" x14ac:dyDescent="0.25">
      <c r="A27" s="7" t="s">
        <v>33</v>
      </c>
      <c r="B27" s="7" t="s">
        <v>8</v>
      </c>
      <c r="D27" t="s">
        <v>24</v>
      </c>
      <c r="E27" t="s">
        <v>29</v>
      </c>
      <c r="G27" t="b">
        <v>1</v>
      </c>
      <c r="H27" t="b">
        <v>1</v>
      </c>
    </row>
    <row r="28" spans="1:8" x14ac:dyDescent="0.25">
      <c r="A28" s="7" t="s">
        <v>33</v>
      </c>
      <c r="B28" s="7" t="s">
        <v>28</v>
      </c>
      <c r="D28" t="s">
        <v>27</v>
      </c>
      <c r="E28" t="s">
        <v>21</v>
      </c>
      <c r="G28" t="b">
        <v>1</v>
      </c>
      <c r="H28" t="b">
        <v>1</v>
      </c>
    </row>
    <row r="29" spans="1:8" x14ac:dyDescent="0.25">
      <c r="A29" s="7" t="s">
        <v>33</v>
      </c>
      <c r="B29" s="7" t="s">
        <v>17</v>
      </c>
      <c r="D29" t="s">
        <v>30</v>
      </c>
      <c r="E29" t="s">
        <v>15</v>
      </c>
      <c r="G29" t="b">
        <v>1</v>
      </c>
      <c r="H29" t="b">
        <v>1</v>
      </c>
    </row>
    <row r="30" spans="1:8" x14ac:dyDescent="0.25">
      <c r="D30" t="s">
        <v>31</v>
      </c>
      <c r="E30" t="s">
        <v>6</v>
      </c>
      <c r="G30" t="b">
        <v>1</v>
      </c>
      <c r="H30" t="b">
        <v>1</v>
      </c>
    </row>
    <row r="31" spans="1:8" x14ac:dyDescent="0.25">
      <c r="D31" t="s">
        <v>33</v>
      </c>
      <c r="E31" t="s">
        <v>21</v>
      </c>
      <c r="G31" t="b">
        <v>1</v>
      </c>
      <c r="H31" t="b">
        <v>1</v>
      </c>
    </row>
    <row r="33" spans="4:8" x14ac:dyDescent="0.25">
      <c r="D33" t="str" cm="1">
        <f t="array" ref="D33:E41">_xlfn.LET(
_xlpm._data_, tblStart[],
_xlpm._promos_, tblPromos[],
_xlpm._spromos_, _xlfn.SORTBY(_xlpm._promos_, _xlfn.MAP(_xlfn.CHOOSECOLS(_xlpm._promos_, 2), _xlfn.LAMBDA(_xlpm.p, COUNTA(_xlfn.TEXTSPLIT(_xlpm.p, ", ")))), -1, _xlfn.CHOOSECOLS(_xlpm._promos_, 1), 1),
_xlpm._grp_, _xlfn.GROUPBY(_xlfn.CHOOSECOLS(_xlpm._data_, 1), _xlfn.CHOOSECOLS(_xlpm._data_, 2), _xlfn.LAMBDA(_xlpm.t, _xlfn.TEXTJOIN(", ", 1, _xlpm.t)),0,0),
_xlpm._map_, _xlfn.MAP(_xlfn.CHOOSECOLS(_xlpm._grp_, 2), _xlfn.LAMBDA(_xlpm.p, _xlfn.TAKE(_xlfn._xlws.FILTER(_xlfn.CHOOSECOLS(_xlpm._spromos_, 1), ISNUMBER(FIND(_xlfn.CHOOSECOLS(_xlpm._spromos_, 2), _xlpm.p)), "No Promo"),1))),
_xlpm._headers_, {"Order_ID","Applied_Promo"},
_xlpm._sol_, _xlfn.VSTACK(_xlpm._headers_, _xlfn.HSTACK(_xlfn.CHOOSECOLS(_xlpm._grp_, 1), _xlpm._map_)),
_xlpm._sol_)</f>
        <v>Order_ID</v>
      </c>
      <c r="E33" t="str">
        <v>Applied_Promo</v>
      </c>
      <c r="G33" t="b" cm="1">
        <f t="array" ref="G33:H41">_xlfn.ANCHORARRAY(D33)=D12:E20</f>
        <v>1</v>
      </c>
      <c r="H33" t="b">
        <v>1</v>
      </c>
    </row>
    <row r="34" spans="4:8" x14ac:dyDescent="0.25">
      <c r="D34" t="str">
        <v>O-101</v>
      </c>
      <c r="E34" t="str">
        <v>Mega Bundle</v>
      </c>
      <c r="G34" t="b">
        <v>1</v>
      </c>
      <c r="H34" t="b">
        <v>1</v>
      </c>
    </row>
    <row r="35" spans="4:8" x14ac:dyDescent="0.25">
      <c r="D35" t="str">
        <v>O-102</v>
      </c>
      <c r="E35" t="str">
        <v>Triple Play</v>
      </c>
      <c r="G35" t="b">
        <v>1</v>
      </c>
      <c r="H35" t="b">
        <v>1</v>
      </c>
    </row>
    <row r="36" spans="4:8" x14ac:dyDescent="0.25">
      <c r="D36" t="str">
        <v>O-103</v>
      </c>
      <c r="E36" t="str">
        <v>Starter Kit</v>
      </c>
      <c r="G36" t="b">
        <v>1</v>
      </c>
      <c r="H36" t="b">
        <v>1</v>
      </c>
    </row>
    <row r="37" spans="4:8" x14ac:dyDescent="0.25">
      <c r="D37" t="str">
        <v>O-104</v>
      </c>
      <c r="E37" t="str">
        <v>No Promo</v>
      </c>
      <c r="G37" t="b">
        <v>1</v>
      </c>
      <c r="H37" t="b">
        <v>1</v>
      </c>
    </row>
    <row r="38" spans="4:8" x14ac:dyDescent="0.25">
      <c r="D38" t="str">
        <v>O-105</v>
      </c>
      <c r="E38" t="str">
        <v>End of Line</v>
      </c>
      <c r="G38" t="b">
        <v>1</v>
      </c>
      <c r="H38" t="b">
        <v>1</v>
      </c>
    </row>
    <row r="39" spans="4:8" x14ac:dyDescent="0.25">
      <c r="D39" t="str">
        <v>O-106</v>
      </c>
      <c r="E39" t="str">
        <v>Odds Pack</v>
      </c>
      <c r="G39" t="b">
        <v>1</v>
      </c>
      <c r="H39" t="b">
        <v>1</v>
      </c>
    </row>
    <row r="40" spans="4:8" x14ac:dyDescent="0.25">
      <c r="D40" t="str">
        <v>O-107</v>
      </c>
      <c r="E40" t="str">
        <v>Mega Bundle</v>
      </c>
      <c r="G40" t="b">
        <v>1</v>
      </c>
      <c r="H40" t="b">
        <v>1</v>
      </c>
    </row>
    <row r="41" spans="4:8" x14ac:dyDescent="0.25">
      <c r="D41" t="str">
        <v>O-108</v>
      </c>
      <c r="E41" t="str">
        <v>End of Line</v>
      </c>
      <c r="G41" t="b">
        <v>1</v>
      </c>
      <c r="H41" t="b">
        <v>1</v>
      </c>
    </row>
    <row r="43" spans="4:8" x14ac:dyDescent="0.25">
      <c r="D43" t="str" cm="1">
        <f t="array" ref="D43:E51">_xlfn._xlws.PY(0,0,A1:B29,D1:E7)</f>
        <v>Order_ID</v>
      </c>
      <c r="E43" t="str">
        <v>Applied_Promo</v>
      </c>
      <c r="G43" t="b" cm="1">
        <f t="array" ref="G43:H51">_xlfn.ANCHORARRAY(D43)=D12:E20</f>
        <v>1</v>
      </c>
      <c r="H43" t="b">
        <v>1</v>
      </c>
    </row>
    <row r="44" spans="4:8" x14ac:dyDescent="0.25">
      <c r="D44" t="str">
        <v>O-101</v>
      </c>
      <c r="E44" t="str">
        <v>Mega Bundle</v>
      </c>
      <c r="G44" t="b">
        <v>1</v>
      </c>
      <c r="H44" t="b">
        <v>1</v>
      </c>
    </row>
    <row r="45" spans="4:8" x14ac:dyDescent="0.25">
      <c r="D45" t="str">
        <v>O-102</v>
      </c>
      <c r="E45" t="str">
        <v>Triple Play</v>
      </c>
      <c r="G45" t="b">
        <v>1</v>
      </c>
      <c r="H45" t="b">
        <v>1</v>
      </c>
    </row>
    <row r="46" spans="4:8" x14ac:dyDescent="0.25">
      <c r="D46" t="str">
        <v>O-103</v>
      </c>
      <c r="E46" t="str">
        <v>Starter Kit</v>
      </c>
      <c r="G46" t="b">
        <v>1</v>
      </c>
      <c r="H46" t="b">
        <v>1</v>
      </c>
    </row>
    <row r="47" spans="4:8" x14ac:dyDescent="0.25">
      <c r="D47" t="str">
        <v>O-104</v>
      </c>
      <c r="E47" t="str">
        <v>No Promo</v>
      </c>
      <c r="G47" t="b">
        <v>1</v>
      </c>
      <c r="H47" t="b">
        <v>1</v>
      </c>
    </row>
    <row r="48" spans="4:8" x14ac:dyDescent="0.25">
      <c r="D48" t="str">
        <v>O-105</v>
      </c>
      <c r="E48" t="str">
        <v>End of Line</v>
      </c>
      <c r="G48" t="b">
        <v>1</v>
      </c>
      <c r="H48" t="b">
        <v>1</v>
      </c>
    </row>
    <row r="49" spans="4:8" x14ac:dyDescent="0.25">
      <c r="D49" t="str">
        <v>O-106</v>
      </c>
      <c r="E49" t="str">
        <v>Odds Pack</v>
      </c>
      <c r="G49" t="b">
        <v>1</v>
      </c>
      <c r="H49" t="b">
        <v>1</v>
      </c>
    </row>
    <row r="50" spans="4:8" x14ac:dyDescent="0.25">
      <c r="D50" t="str">
        <v>O-107</v>
      </c>
      <c r="E50" t="str">
        <v>Mega Bundle</v>
      </c>
      <c r="G50" t="b">
        <v>1</v>
      </c>
      <c r="H50" t="b">
        <v>1</v>
      </c>
    </row>
    <row r="51" spans="4:8" x14ac:dyDescent="0.25">
      <c r="D51" t="str">
        <v>O-108</v>
      </c>
      <c r="E51" t="str">
        <v>End of Line</v>
      </c>
      <c r="G51" t="b">
        <v>1</v>
      </c>
      <c r="H51" t="b">
        <v>1</v>
      </c>
    </row>
  </sheetData>
  <pageMargins left="0.7" right="0.7" top="0.75" bottom="0.75" header="0.3" footer="0.3"/>
  <drawing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323FD0-41DA-4D94-BF2C-311B0BA400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391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Maciej Kopczyński</cp:lastModifiedBy>
  <cp:revision/>
  <dcterms:created xsi:type="dcterms:W3CDTF">2015-06-05T18:17:20Z</dcterms:created>
  <dcterms:modified xsi:type="dcterms:W3CDTF">2026-05-17T19:04:44Z</dcterms:modified>
  <cp:category/>
  <cp:contentStatus/>
</cp:coreProperties>
</file>