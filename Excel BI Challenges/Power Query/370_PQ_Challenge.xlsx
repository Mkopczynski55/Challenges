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9" documentId="8_{303F96F2-E395-4FB1-B72F-BD8ED03CDCC2}" xr6:coauthVersionLast="47" xr6:coauthVersionMax="47" xr10:uidLastSave="{6A3AC826-BE9C-498A-AAA5-CE075ACBE0C6}"/>
  <bookViews>
    <workbookView xWindow="-120" yWindow="-120" windowWidth="29040" windowHeight="15720" xr2:uid="{00000000-000D-0000-FFFF-FFFF00000000}"/>
  </bookViews>
  <sheets>
    <sheet name="370" sheetId="1" r:id="rId1"/>
  </sheets>
  <definedNames>
    <definedName name="_xlnm._FilterDatabase" localSheetId="0" hidden="1">'370'!$A$1:$D$1</definedName>
    <definedName name="ExternalData_1" localSheetId="0" hidden="1">'370'!$M$1:$R$21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 a="1"/>
  <c r="T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AA7818-BA68-4422-A6DC-AF8107CC3B7B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<sst xmlns="http://schemas.openxmlformats.org/spreadsheetml/2006/main" count="176" uniqueCount="32">
  <si>
    <t>Patient ID</t>
  </si>
  <si>
    <t>Referral Date</t>
  </si>
  <si>
    <t>Department</t>
  </si>
  <si>
    <t>Target Days (SLA)</t>
  </si>
  <si>
    <t>Forecasted Month</t>
  </si>
  <si>
    <t>Wait Days</t>
  </si>
  <si>
    <t>SLA Status</t>
  </si>
  <si>
    <t>P-101</t>
  </si>
  <si>
    <t>Cardiology</t>
  </si>
  <si>
    <t>Within SLA</t>
  </si>
  <si>
    <t>P-102</t>
  </si>
  <si>
    <t>Neurology</t>
  </si>
  <si>
    <t>P-103</t>
  </si>
  <si>
    <t>P-105</t>
  </si>
  <si>
    <t>P-104</t>
  </si>
  <si>
    <t>Orthopedics</t>
  </si>
  <si>
    <t>P-108</t>
  </si>
  <si>
    <t>P-109</t>
  </si>
  <si>
    <t>Breach</t>
  </si>
  <si>
    <t>P-106</t>
  </si>
  <si>
    <t>P-112</t>
  </si>
  <si>
    <t>P-107</t>
  </si>
  <si>
    <t>P-113</t>
  </si>
  <si>
    <t>P-116</t>
  </si>
  <si>
    <t>P-117</t>
  </si>
  <si>
    <t>P-110</t>
  </si>
  <si>
    <t>P-119</t>
  </si>
  <si>
    <t>P-111</t>
  </si>
  <si>
    <t>P-114</t>
  </si>
  <si>
    <t>P-115</t>
  </si>
  <si>
    <t>P-118</t>
  </si>
  <si>
    <t>P-120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</si>
</sst>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4" fontId="0" fillId="0" borderId="3" xfId="0" applyNumberFormat="1" applyBorder="1"/>
    <xf numFmtId="14" fontId="0" fillId="0" borderId="6" xfId="0" applyNumberFormat="1" applyBorder="1"/>
    <xf numFmtId="0" fontId="1" fillId="2" borderId="0" xfId="0" applyFont="1" applyFill="1"/>
    <xf numFmtId="0" fontId="1" fillId="3" borderId="0" xfId="0" applyFont="1" applyFill="1" applyBorder="1"/>
  </cellXfs>
  <cellStyles count="1">
    <cellStyle name="Normalny" xfId="0" builtinId="0"/>
  </cellStyles>
  <dxfs count="6"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Invisible" pivot="0" table="0" count="0" xr9:uid="{B9E8E332-C1E0-47E7-BD6B-FE7AFC70E9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238125</xdr:colOff>
      <xdr:row>20</xdr:row>
      <xdr:rowOff>127000</xdr:rowOff>
    </xdr:from>
    <xdr:to>
      <xdr:col>23</xdr:col>
      <xdr:colOff>130175</xdr:colOff>
      <xdr:row>32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AE322CF-532E-FFCF-F7C4-E7EC9F4FC5C0}"/>
            </a:ext>
          </a:extLst>
        </xdr:cNvPr>
        <xdr:cNvSpPr/>
      </xdr:nvSpPr>
      <xdr:spPr>
        <a:xfrm>
          <a:off x="9877425" y="3937000"/>
          <a:ext cx="5988050" cy="23304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Queue Logic: Patients are seen in order of their Referral Date. (If dates are tied, use Patient ID as the tie-breaker).</a:t>
          </a:r>
        </a:p>
        <a:p>
          <a:pPr algn="l"/>
          <a:r>
            <a:rPr lang="en-IN" sz="1200" b="1"/>
            <a:t>Scheduling Forecast: The first 2 patients in a department are seen in Month 1 (Jan).</a:t>
          </a:r>
        </a:p>
        <a:p>
          <a:pPr algn="l"/>
          <a:r>
            <a:rPr lang="en-IN" sz="1200" b="1"/>
            <a:t>The next 2 are seen in Month 2 (Feb), and so on.</a:t>
          </a:r>
        </a:p>
        <a:p>
          <a:pPr algn="l"/>
          <a:r>
            <a:rPr lang="en-IN" sz="1200" b="1"/>
            <a:t>Assume "Month 1" begins on the date of the very first referral in the dataset (2024-01-01). Every 30 days counts as a new "forecasted month."</a:t>
          </a:r>
        </a:p>
        <a:p>
          <a:pPr algn="l"/>
          <a:r>
            <a:rPr lang="en-IN" sz="1200" b="1"/>
            <a:t>Breach Calculation: Calculate the Forecasted Treatment Month (e.g., if a patient is in the 3rd slot for Cardiology, they are seen in Month 2, which is 30 days after the start).</a:t>
          </a:r>
        </a:p>
        <a:p>
          <a:pPr algn="l"/>
          <a:r>
            <a:rPr lang="en-IN" sz="1200" b="1"/>
            <a:t>Wait Days = Forecasted Treatment Date - Referral Date.</a:t>
          </a:r>
        </a:p>
        <a:p>
          <a:pPr algn="l"/>
          <a:r>
            <a:rPr lang="en-IN" sz="1200" b="1"/>
            <a:t>If Wait Days &gt; Target Days (SLA), mark the row with a "Breach" flag.</a:t>
          </a:r>
        </a:p>
      </xdr:txBody>
    </xdr:sp>
    <xdr:clientData/>
  </xdr:twoCellAnchor>
  <xdr:twoCellAnchor editAs="oneCell">
    <xdr:from>
      <xdr:col>18</xdr:col>
      <xdr:colOff>114300</xdr:colOff>
      <xdr:row>21</xdr:row>
      <xdr:rowOff>180975</xdr:rowOff>
    </xdr:from>
    <xdr:to>
      <xdr:col>19</xdr:col>
      <xdr:colOff>368300</xdr:colOff>
      <xdr:row>23</xdr:row>
      <xdr:rowOff>117475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93C916-4E39-460D-AFE8-0A8D0AD14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801600" y="4181475"/>
          <a:ext cx="1063625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3BB5A3-31BF-4541-AB7E-6C1B9AE627DF}" autoFormatId="16" applyNumberFormats="0" applyBorderFormats="0" applyFontFormats="0" applyPatternFormats="0" applyAlignmentFormats="0" applyWidthHeightFormats="0">
  <queryTableRefresh nextId="11">
    <queryTableFields count="6">
      <queryTableField id="1" name="Patient ID" tableColumnId="1"/>
      <queryTableField id="3" name="Department" tableColumnId="3"/>
      <queryTableField id="2" name="Referral Date" tableColumnId="2"/>
      <queryTableField id="8" name="Forecasted Month" tableColumnId="8"/>
      <queryTableField id="6" name="Wait Days" tableColumnId="6"/>
      <queryTableField id="7" name="SLA Status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0D97A-C4DB-4C5D-B87A-4AA655D4708E}" name="tblStart" displayName="tblStart" ref="A1:D21" totalsRowShown="0" headerRowDxfId="5" tableBorderDxfId="4">
  <autoFilter ref="A1:D21" xr:uid="{1ED0D97A-C4DB-4C5D-B87A-4AA655D4708E}"/>
  <tableColumns count="4">
    <tableColumn id="1" xr3:uid="{B746DDBB-D98C-4460-BDA8-2FDE33E379AD}" name="Patient ID" dataDxfId="3"/>
    <tableColumn id="2" xr3:uid="{5B11A0EC-CDD0-4DF4-8727-331DD1EC25E0}" name="Referral Date" dataDxfId="2"/>
    <tableColumn id="3" xr3:uid="{46EBA698-E7FF-4E97-A369-E2F927B6BBD8}" name="Department" dataDxfId="1"/>
    <tableColumn id="4" xr3:uid="{81CA7DFB-0EAD-4505-90CC-D50E84083D7F}" name="Target Days (SLA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300A93-083A-4EEB-A01D-1CF70128C6FB}" name="tblSolution" displayName="tblSolution" ref="M1:R21" tableType="queryTable" totalsRowShown="0">
  <autoFilter ref="M1:R21" xr:uid="{DE300A93-083A-4EEB-A01D-1CF70128C6FB}"/>
  <tableColumns count="6">
    <tableColumn id="1" xr3:uid="{62D20F09-0F72-41AF-96A9-0D41AE2D6C48}" uniqueName="1" name="Patient ID" queryTableFieldId="1"/>
    <tableColumn id="3" xr3:uid="{7B8A10C4-F8CC-4101-A5A9-C749B4A75A67}" uniqueName="3" name="Department" queryTableFieldId="3"/>
    <tableColumn id="2" xr3:uid="{249C517C-A085-4419-AB12-751F73D3278A}" uniqueName="2" name="Referral Date" queryTableFieldId="2"/>
    <tableColumn id="8" xr3:uid="{2534471B-4D9D-418B-93A2-93FC7885EDA6}" uniqueName="8" name="Forecasted Month" queryTableFieldId="8"/>
    <tableColumn id="6" xr3:uid="{2E01837A-A7A9-4CED-BB0B-7932E69A0082}" uniqueName="6" name="Wait Days" queryTableFieldId="6"/>
    <tableColumn id="7" xr3:uid="{025B78E7-9C44-47C5-B8EF-4012D53AC7A4}" uniqueName="7" name="SLA Status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topLeftCell="H1" workbookViewId="0">
      <selection activeCell="P8" sqref="P8"/>
    </sheetView>
  </sheetViews>
  <sheetFormatPr defaultRowHeight="15" x14ac:dyDescent="0.25"/>
  <cols>
    <col min="1" max="1" width="11.85546875" customWidth="1"/>
    <col min="2" max="2" width="14.85546875" customWidth="1"/>
    <col min="3" max="3" width="13.85546875" customWidth="1"/>
    <col min="4" max="4" width="18.28515625" customWidth="1"/>
    <col min="6" max="6" width="9.140625" bestFit="1" customWidth="1"/>
    <col min="7" max="7" width="11.140625" bestFit="1" customWidth="1"/>
    <col min="8" max="8" width="11.85546875" bestFit="1" customWidth="1"/>
    <col min="9" max="9" width="16.28515625" bestFit="1" customWidth="1"/>
    <col min="10" max="10" width="9.28515625" bestFit="1" customWidth="1"/>
    <col min="11" max="11" width="9.7109375" bestFit="1" customWidth="1"/>
    <col min="13" max="13" width="12" bestFit="1" customWidth="1"/>
    <col min="14" max="14" width="14" bestFit="1" customWidth="1"/>
    <col min="15" max="15" width="15" bestFit="1" customWidth="1"/>
    <col min="16" max="16" width="19.7109375" bestFit="1" customWidth="1"/>
    <col min="17" max="17" width="12.140625" bestFit="1" customWidth="1"/>
    <col min="18" max="18" width="12.28515625" bestFit="1" customWidth="1"/>
    <col min="19" max="19" width="12.140625" bestFit="1" customWidth="1"/>
    <col min="20" max="20" width="12.28515625" bestFit="1" customWidth="1"/>
  </cols>
  <sheetData>
    <row r="1" spans="1:25" x14ac:dyDescent="0.25">
      <c r="A1" s="14" t="s">
        <v>0</v>
      </c>
      <c r="B1" s="14" t="s">
        <v>1</v>
      </c>
      <c r="C1" s="14" t="s">
        <v>2</v>
      </c>
      <c r="D1" s="14" t="s">
        <v>3</v>
      </c>
      <c r="F1" s="9" t="s">
        <v>0</v>
      </c>
      <c r="G1" s="10" t="s">
        <v>2</v>
      </c>
      <c r="H1" s="10" t="s">
        <v>1</v>
      </c>
      <c r="I1" s="10" t="s">
        <v>4</v>
      </c>
      <c r="J1" s="10" t="s">
        <v>5</v>
      </c>
      <c r="K1" s="11" t="s">
        <v>6</v>
      </c>
      <c r="M1" s="15" t="s">
        <v>0</v>
      </c>
      <c r="N1" t="s">
        <v>2</v>
      </c>
      <c r="O1" t="s">
        <v>1</v>
      </c>
      <c r="P1" t="s">
        <v>4</v>
      </c>
      <c r="Q1" t="s">
        <v>5</v>
      </c>
      <c r="R1" t="s">
        <v>6</v>
      </c>
      <c r="T1" t="b" cm="1">
        <f t="array" ref="T1:Y21">tblSolution[#All]=F1:K21</f>
        <v>1</v>
      </c>
      <c r="U1" t="b">
        <v>1</v>
      </c>
      <c r="V1" t="b">
        <v>1</v>
      </c>
      <c r="W1" t="b">
        <v>1</v>
      </c>
      <c r="X1" t="b">
        <v>1</v>
      </c>
      <c r="Y1" t="b">
        <v>1</v>
      </c>
    </row>
    <row r="2" spans="1:25" x14ac:dyDescent="0.25">
      <c r="A2" s="1" t="s">
        <v>7</v>
      </c>
      <c r="B2" s="2">
        <v>45292</v>
      </c>
      <c r="C2" s="1" t="s">
        <v>8</v>
      </c>
      <c r="D2" s="1">
        <v>30</v>
      </c>
      <c r="F2" s="3" t="s">
        <v>7</v>
      </c>
      <c r="G2" s="4" t="s">
        <v>8</v>
      </c>
      <c r="H2" s="12">
        <v>45292</v>
      </c>
      <c r="I2" s="4">
        <v>1</v>
      </c>
      <c r="J2" s="4">
        <v>0</v>
      </c>
      <c r="K2" s="5" t="s">
        <v>9</v>
      </c>
      <c r="M2" t="s">
        <v>7</v>
      </c>
      <c r="N2" t="s">
        <v>8</v>
      </c>
      <c r="O2">
        <v>45292</v>
      </c>
      <c r="P2">
        <v>1</v>
      </c>
      <c r="Q2">
        <v>0</v>
      </c>
      <c r="R2" t="s">
        <v>9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</row>
    <row r="3" spans="1:25" x14ac:dyDescent="0.25">
      <c r="A3" s="1" t="s">
        <v>10</v>
      </c>
      <c r="B3" s="2">
        <v>45296</v>
      </c>
      <c r="C3" s="1" t="s">
        <v>11</v>
      </c>
      <c r="D3" s="1">
        <v>90</v>
      </c>
      <c r="F3" s="3" t="s">
        <v>12</v>
      </c>
      <c r="G3" s="4" t="s">
        <v>8</v>
      </c>
      <c r="H3" s="12">
        <v>45301</v>
      </c>
      <c r="I3" s="4">
        <v>1</v>
      </c>
      <c r="J3" s="4">
        <v>0</v>
      </c>
      <c r="K3" s="5" t="s">
        <v>9</v>
      </c>
      <c r="M3" t="s">
        <v>12</v>
      </c>
      <c r="N3" t="s">
        <v>8</v>
      </c>
      <c r="O3">
        <v>45301</v>
      </c>
      <c r="P3">
        <v>1</v>
      </c>
      <c r="Q3">
        <v>0</v>
      </c>
      <c r="R3" t="s">
        <v>9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</row>
    <row r="4" spans="1:25" x14ac:dyDescent="0.25">
      <c r="A4" s="1" t="s">
        <v>12</v>
      </c>
      <c r="B4" s="2">
        <v>45301</v>
      </c>
      <c r="C4" s="1" t="s">
        <v>8</v>
      </c>
      <c r="D4" s="1">
        <v>60</v>
      </c>
      <c r="F4" s="3" t="s">
        <v>13</v>
      </c>
      <c r="G4" s="4" t="s">
        <v>8</v>
      </c>
      <c r="H4" s="12">
        <v>45306</v>
      </c>
      <c r="I4" s="4">
        <v>2</v>
      </c>
      <c r="J4" s="4">
        <v>16</v>
      </c>
      <c r="K4" s="5" t="s">
        <v>9</v>
      </c>
      <c r="M4" t="s">
        <v>13</v>
      </c>
      <c r="N4" t="s">
        <v>8</v>
      </c>
      <c r="O4">
        <v>45306</v>
      </c>
      <c r="P4">
        <v>2</v>
      </c>
      <c r="Q4">
        <v>16</v>
      </c>
      <c r="R4" t="s">
        <v>9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</row>
    <row r="5" spans="1:25" x14ac:dyDescent="0.25">
      <c r="A5" s="1" t="s">
        <v>14</v>
      </c>
      <c r="B5" s="2">
        <v>45303</v>
      </c>
      <c r="C5" s="1" t="s">
        <v>15</v>
      </c>
      <c r="D5" s="1">
        <v>30</v>
      </c>
      <c r="F5" s="3" t="s">
        <v>16</v>
      </c>
      <c r="G5" s="4" t="s">
        <v>8</v>
      </c>
      <c r="H5" s="12">
        <v>45313</v>
      </c>
      <c r="I5" s="4">
        <v>2</v>
      </c>
      <c r="J5" s="4">
        <v>9</v>
      </c>
      <c r="K5" s="5" t="s">
        <v>9</v>
      </c>
      <c r="M5" t="s">
        <v>16</v>
      </c>
      <c r="N5" t="s">
        <v>8</v>
      </c>
      <c r="O5">
        <v>45313</v>
      </c>
      <c r="P5">
        <v>2</v>
      </c>
      <c r="Q5">
        <v>9</v>
      </c>
      <c r="R5" t="s">
        <v>9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</row>
    <row r="6" spans="1:25" x14ac:dyDescent="0.25">
      <c r="A6" s="1" t="s">
        <v>13</v>
      </c>
      <c r="B6" s="2">
        <v>45306</v>
      </c>
      <c r="C6" s="1" t="s">
        <v>8</v>
      </c>
      <c r="D6" s="1">
        <v>30</v>
      </c>
      <c r="F6" s="3" t="s">
        <v>17</v>
      </c>
      <c r="G6" s="4" t="s">
        <v>8</v>
      </c>
      <c r="H6" s="12">
        <v>45316</v>
      </c>
      <c r="I6" s="4">
        <v>3</v>
      </c>
      <c r="J6" s="4">
        <v>36</v>
      </c>
      <c r="K6" s="5" t="s">
        <v>18</v>
      </c>
      <c r="M6" t="s">
        <v>17</v>
      </c>
      <c r="N6" t="s">
        <v>8</v>
      </c>
      <c r="O6">
        <v>45316</v>
      </c>
      <c r="P6">
        <v>3</v>
      </c>
      <c r="Q6">
        <v>36</v>
      </c>
      <c r="R6" t="s">
        <v>18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</row>
    <row r="7" spans="1:25" x14ac:dyDescent="0.25">
      <c r="A7" s="1" t="s">
        <v>19</v>
      </c>
      <c r="B7" s="2">
        <v>45309</v>
      </c>
      <c r="C7" s="1" t="s">
        <v>11</v>
      </c>
      <c r="D7" s="1">
        <v>60</v>
      </c>
      <c r="F7" s="3" t="s">
        <v>20</v>
      </c>
      <c r="G7" s="4" t="s">
        <v>8</v>
      </c>
      <c r="H7" s="12">
        <v>45325</v>
      </c>
      <c r="I7" s="4">
        <v>3</v>
      </c>
      <c r="J7" s="4">
        <v>27</v>
      </c>
      <c r="K7" s="5" t="s">
        <v>9</v>
      </c>
      <c r="M7" t="s">
        <v>20</v>
      </c>
      <c r="N7" t="s">
        <v>8</v>
      </c>
      <c r="O7">
        <v>45325</v>
      </c>
      <c r="P7">
        <v>3</v>
      </c>
      <c r="Q7">
        <v>27</v>
      </c>
      <c r="R7" t="s">
        <v>9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</row>
    <row r="8" spans="1:25" x14ac:dyDescent="0.25">
      <c r="A8" s="1" t="s">
        <v>21</v>
      </c>
      <c r="B8" s="2">
        <v>45311</v>
      </c>
      <c r="C8" s="1" t="s">
        <v>15</v>
      </c>
      <c r="D8" s="1">
        <v>90</v>
      </c>
      <c r="F8" s="3" t="s">
        <v>22</v>
      </c>
      <c r="G8" s="4" t="s">
        <v>8</v>
      </c>
      <c r="H8" s="12">
        <v>45327</v>
      </c>
      <c r="I8" s="4">
        <v>4</v>
      </c>
      <c r="J8" s="4">
        <v>55</v>
      </c>
      <c r="K8" s="5" t="s">
        <v>18</v>
      </c>
      <c r="M8" t="s">
        <v>22</v>
      </c>
      <c r="N8" t="s">
        <v>8</v>
      </c>
      <c r="O8">
        <v>45327</v>
      </c>
      <c r="P8">
        <v>4</v>
      </c>
      <c r="Q8">
        <v>55</v>
      </c>
      <c r="R8" t="s">
        <v>18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</row>
    <row r="9" spans="1:25" x14ac:dyDescent="0.25">
      <c r="A9" s="1" t="s">
        <v>16</v>
      </c>
      <c r="B9" s="2">
        <v>45313</v>
      </c>
      <c r="C9" s="1" t="s">
        <v>8</v>
      </c>
      <c r="D9" s="1">
        <v>60</v>
      </c>
      <c r="F9" s="3" t="s">
        <v>23</v>
      </c>
      <c r="G9" s="4" t="s">
        <v>8</v>
      </c>
      <c r="H9" s="12">
        <v>45334</v>
      </c>
      <c r="I9" s="4">
        <v>4</v>
      </c>
      <c r="J9" s="4">
        <v>48</v>
      </c>
      <c r="K9" s="5" t="s">
        <v>9</v>
      </c>
      <c r="M9" t="s">
        <v>23</v>
      </c>
      <c r="N9" t="s">
        <v>8</v>
      </c>
      <c r="O9">
        <v>45334</v>
      </c>
      <c r="P9">
        <v>4</v>
      </c>
      <c r="Q9">
        <v>48</v>
      </c>
      <c r="R9" t="s">
        <v>9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</row>
    <row r="10" spans="1:25" x14ac:dyDescent="0.25">
      <c r="A10" s="1" t="s">
        <v>17</v>
      </c>
      <c r="B10" s="2">
        <v>45316</v>
      </c>
      <c r="C10" s="1" t="s">
        <v>8</v>
      </c>
      <c r="D10" s="1">
        <v>30</v>
      </c>
      <c r="F10" s="3" t="s">
        <v>24</v>
      </c>
      <c r="G10" s="4" t="s">
        <v>8</v>
      </c>
      <c r="H10" s="12">
        <v>45336</v>
      </c>
      <c r="I10" s="4">
        <v>5</v>
      </c>
      <c r="J10" s="4">
        <v>76</v>
      </c>
      <c r="K10" s="5" t="s">
        <v>18</v>
      </c>
      <c r="M10" t="s">
        <v>24</v>
      </c>
      <c r="N10" t="s">
        <v>8</v>
      </c>
      <c r="O10">
        <v>45336</v>
      </c>
      <c r="P10">
        <v>5</v>
      </c>
      <c r="Q10">
        <v>76</v>
      </c>
      <c r="R10" t="s">
        <v>18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</row>
    <row r="11" spans="1:25" x14ac:dyDescent="0.25">
      <c r="A11" s="1" t="s">
        <v>25</v>
      </c>
      <c r="B11" s="2">
        <v>45319</v>
      </c>
      <c r="C11" s="1" t="s">
        <v>11</v>
      </c>
      <c r="D11" s="1">
        <v>30</v>
      </c>
      <c r="F11" s="3" t="s">
        <v>26</v>
      </c>
      <c r="G11" s="4" t="s">
        <v>8</v>
      </c>
      <c r="H11" s="12">
        <v>45340</v>
      </c>
      <c r="I11" s="4">
        <v>5</v>
      </c>
      <c r="J11" s="4">
        <v>72</v>
      </c>
      <c r="K11" s="5" t="s">
        <v>9</v>
      </c>
      <c r="M11" t="s">
        <v>26</v>
      </c>
      <c r="N11" t="s">
        <v>8</v>
      </c>
      <c r="O11">
        <v>45340</v>
      </c>
      <c r="P11">
        <v>5</v>
      </c>
      <c r="Q11">
        <v>72</v>
      </c>
      <c r="R11" t="s">
        <v>9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</row>
    <row r="12" spans="1:25" x14ac:dyDescent="0.25">
      <c r="A12" s="1" t="s">
        <v>27</v>
      </c>
      <c r="B12" s="2">
        <v>45323</v>
      </c>
      <c r="C12" s="1" t="s">
        <v>15</v>
      </c>
      <c r="D12" s="1">
        <v>60</v>
      </c>
      <c r="F12" s="3" t="s">
        <v>10</v>
      </c>
      <c r="G12" s="4" t="s">
        <v>11</v>
      </c>
      <c r="H12" s="12">
        <v>45296</v>
      </c>
      <c r="I12" s="4">
        <v>1</v>
      </c>
      <c r="J12" s="4">
        <v>0</v>
      </c>
      <c r="K12" s="5" t="s">
        <v>9</v>
      </c>
      <c r="M12" t="s">
        <v>10</v>
      </c>
      <c r="N12" t="s">
        <v>11</v>
      </c>
      <c r="O12">
        <v>45296</v>
      </c>
      <c r="P12">
        <v>1</v>
      </c>
      <c r="Q12">
        <v>0</v>
      </c>
      <c r="R12" t="s">
        <v>9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</row>
    <row r="13" spans="1:25" x14ac:dyDescent="0.25">
      <c r="A13" s="1" t="s">
        <v>20</v>
      </c>
      <c r="B13" s="2">
        <v>45325</v>
      </c>
      <c r="C13" s="1" t="s">
        <v>8</v>
      </c>
      <c r="D13" s="1">
        <v>90</v>
      </c>
      <c r="F13" s="3" t="s">
        <v>19</v>
      </c>
      <c r="G13" s="4" t="s">
        <v>11</v>
      </c>
      <c r="H13" s="12">
        <v>45309</v>
      </c>
      <c r="I13" s="4">
        <v>1</v>
      </c>
      <c r="J13" s="4">
        <v>0</v>
      </c>
      <c r="K13" s="5" t="s">
        <v>9</v>
      </c>
      <c r="M13" t="s">
        <v>19</v>
      </c>
      <c r="N13" t="s">
        <v>11</v>
      </c>
      <c r="O13">
        <v>45309</v>
      </c>
      <c r="P13">
        <v>1</v>
      </c>
      <c r="Q13">
        <v>0</v>
      </c>
      <c r="R13" t="s">
        <v>9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</row>
    <row r="14" spans="1:25" x14ac:dyDescent="0.25">
      <c r="A14" s="1" t="s">
        <v>22</v>
      </c>
      <c r="B14" s="2">
        <v>45327</v>
      </c>
      <c r="C14" s="1" t="s">
        <v>8</v>
      </c>
      <c r="D14" s="1">
        <v>30</v>
      </c>
      <c r="F14" s="3" t="s">
        <v>25</v>
      </c>
      <c r="G14" s="4" t="s">
        <v>11</v>
      </c>
      <c r="H14" s="12">
        <v>45319</v>
      </c>
      <c r="I14" s="4">
        <v>2</v>
      </c>
      <c r="J14" s="4">
        <v>3</v>
      </c>
      <c r="K14" s="5" t="s">
        <v>9</v>
      </c>
      <c r="M14" t="s">
        <v>25</v>
      </c>
      <c r="N14" t="s">
        <v>11</v>
      </c>
      <c r="O14">
        <v>45319</v>
      </c>
      <c r="P14">
        <v>2</v>
      </c>
      <c r="Q14">
        <v>3</v>
      </c>
      <c r="R14" t="s">
        <v>9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</row>
    <row r="15" spans="1:25" x14ac:dyDescent="0.25">
      <c r="A15" s="1" t="s">
        <v>28</v>
      </c>
      <c r="B15" s="2">
        <v>45329</v>
      </c>
      <c r="C15" s="1" t="s">
        <v>11</v>
      </c>
      <c r="D15" s="1">
        <v>90</v>
      </c>
      <c r="F15" s="3" t="s">
        <v>28</v>
      </c>
      <c r="G15" s="4" t="s">
        <v>11</v>
      </c>
      <c r="H15" s="12">
        <v>45329</v>
      </c>
      <c r="I15" s="4">
        <v>2</v>
      </c>
      <c r="J15" s="4">
        <v>0</v>
      </c>
      <c r="K15" s="5" t="s">
        <v>9</v>
      </c>
      <c r="M15" t="s">
        <v>28</v>
      </c>
      <c r="N15" t="s">
        <v>11</v>
      </c>
      <c r="O15">
        <v>45329</v>
      </c>
      <c r="P15">
        <v>2</v>
      </c>
      <c r="Q15">
        <v>0</v>
      </c>
      <c r="R15" t="s">
        <v>9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</row>
    <row r="16" spans="1:25" x14ac:dyDescent="0.25">
      <c r="A16" s="1" t="s">
        <v>29</v>
      </c>
      <c r="B16" s="2">
        <v>45332</v>
      </c>
      <c r="C16" s="1" t="s">
        <v>15</v>
      </c>
      <c r="D16" s="1">
        <v>30</v>
      </c>
      <c r="F16" s="3" t="s">
        <v>30</v>
      </c>
      <c r="G16" s="4" t="s">
        <v>11</v>
      </c>
      <c r="H16" s="12">
        <v>45338</v>
      </c>
      <c r="I16" s="4">
        <v>3</v>
      </c>
      <c r="J16" s="4">
        <v>14</v>
      </c>
      <c r="K16" s="5" t="s">
        <v>9</v>
      </c>
      <c r="M16" t="s">
        <v>30</v>
      </c>
      <c r="N16" t="s">
        <v>11</v>
      </c>
      <c r="O16">
        <v>45338</v>
      </c>
      <c r="P16">
        <v>3</v>
      </c>
      <c r="Q16">
        <v>14</v>
      </c>
      <c r="R16" t="s">
        <v>9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</row>
    <row r="17" spans="1:25" x14ac:dyDescent="0.25">
      <c r="A17" s="1" t="s">
        <v>23</v>
      </c>
      <c r="B17" s="2">
        <v>45334</v>
      </c>
      <c r="C17" s="1" t="s">
        <v>8</v>
      </c>
      <c r="D17" s="1">
        <v>60</v>
      </c>
      <c r="F17" s="3" t="s">
        <v>14</v>
      </c>
      <c r="G17" s="4" t="s">
        <v>15</v>
      </c>
      <c r="H17" s="12">
        <v>45303</v>
      </c>
      <c r="I17" s="4">
        <v>1</v>
      </c>
      <c r="J17" s="4">
        <v>0</v>
      </c>
      <c r="K17" s="5" t="s">
        <v>9</v>
      </c>
      <c r="M17" t="s">
        <v>14</v>
      </c>
      <c r="N17" t="s">
        <v>15</v>
      </c>
      <c r="O17">
        <v>45303</v>
      </c>
      <c r="P17">
        <v>1</v>
      </c>
      <c r="Q17">
        <v>0</v>
      </c>
      <c r="R17" t="s">
        <v>9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</row>
    <row r="18" spans="1:25" x14ac:dyDescent="0.25">
      <c r="A18" s="1" t="s">
        <v>24</v>
      </c>
      <c r="B18" s="2">
        <v>45336</v>
      </c>
      <c r="C18" s="1" t="s">
        <v>8</v>
      </c>
      <c r="D18" s="1">
        <v>30</v>
      </c>
      <c r="F18" s="3" t="s">
        <v>21</v>
      </c>
      <c r="G18" s="4" t="s">
        <v>15</v>
      </c>
      <c r="H18" s="12">
        <v>45311</v>
      </c>
      <c r="I18" s="4">
        <v>1</v>
      </c>
      <c r="J18" s="4">
        <v>0</v>
      </c>
      <c r="K18" s="5" t="s">
        <v>9</v>
      </c>
      <c r="M18" t="s">
        <v>21</v>
      </c>
      <c r="N18" t="s">
        <v>15</v>
      </c>
      <c r="O18">
        <v>45311</v>
      </c>
      <c r="P18">
        <v>1</v>
      </c>
      <c r="Q18">
        <v>0</v>
      </c>
      <c r="R18" t="s">
        <v>9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</row>
    <row r="19" spans="1:25" x14ac:dyDescent="0.25">
      <c r="A19" s="1" t="s">
        <v>30</v>
      </c>
      <c r="B19" s="2">
        <v>45338</v>
      </c>
      <c r="C19" s="1" t="s">
        <v>11</v>
      </c>
      <c r="D19" s="1">
        <v>60</v>
      </c>
      <c r="F19" s="3" t="s">
        <v>27</v>
      </c>
      <c r="G19" s="4" t="s">
        <v>15</v>
      </c>
      <c r="H19" s="12">
        <v>45323</v>
      </c>
      <c r="I19" s="4">
        <v>2</v>
      </c>
      <c r="J19" s="4">
        <v>0</v>
      </c>
      <c r="K19" s="5" t="s">
        <v>9</v>
      </c>
      <c r="M19" t="s">
        <v>27</v>
      </c>
      <c r="N19" t="s">
        <v>15</v>
      </c>
      <c r="O19">
        <v>45323</v>
      </c>
      <c r="P19">
        <v>2</v>
      </c>
      <c r="Q19">
        <v>0</v>
      </c>
      <c r="R19" t="s">
        <v>9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</row>
    <row r="20" spans="1:25" x14ac:dyDescent="0.25">
      <c r="A20" s="1" t="s">
        <v>26</v>
      </c>
      <c r="B20" s="2">
        <v>45340</v>
      </c>
      <c r="C20" s="1" t="s">
        <v>8</v>
      </c>
      <c r="D20" s="1">
        <v>90</v>
      </c>
      <c r="F20" s="3" t="s">
        <v>29</v>
      </c>
      <c r="G20" s="4" t="s">
        <v>15</v>
      </c>
      <c r="H20" s="12">
        <v>45332</v>
      </c>
      <c r="I20" s="4">
        <v>2</v>
      </c>
      <c r="J20" s="4">
        <v>0</v>
      </c>
      <c r="K20" s="5" t="s">
        <v>9</v>
      </c>
      <c r="M20" t="s">
        <v>29</v>
      </c>
      <c r="N20" t="s">
        <v>15</v>
      </c>
      <c r="O20">
        <v>45332</v>
      </c>
      <c r="P20">
        <v>2</v>
      </c>
      <c r="Q20">
        <v>0</v>
      </c>
      <c r="R20" t="s">
        <v>9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</row>
    <row r="21" spans="1:25" x14ac:dyDescent="0.25">
      <c r="A21" s="1" t="s">
        <v>31</v>
      </c>
      <c r="B21" s="2">
        <v>45342</v>
      </c>
      <c r="C21" s="1" t="s">
        <v>15</v>
      </c>
      <c r="D21" s="1">
        <v>60</v>
      </c>
      <c r="F21" s="6" t="s">
        <v>31</v>
      </c>
      <c r="G21" s="7" t="s">
        <v>15</v>
      </c>
      <c r="H21" s="13">
        <v>45342</v>
      </c>
      <c r="I21" s="7">
        <v>3</v>
      </c>
      <c r="J21" s="7">
        <v>10</v>
      </c>
      <c r="K21" s="8" t="s">
        <v>9</v>
      </c>
      <c r="M21" t="s">
        <v>31</v>
      </c>
      <c r="N21" t="s">
        <v>15</v>
      </c>
      <c r="O21">
        <v>45342</v>
      </c>
      <c r="P21">
        <v>3</v>
      </c>
      <c r="Q21">
        <v>10</v>
      </c>
      <c r="R21" t="s">
        <v>9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A06407-9FAA-4795-9DA6-40FCE32DD8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370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2026-03-01T12:27:14Z</dcterms:modified>
  <cp:category/>
  <cp:contentStatus/>
</cp:coreProperties>
</file>