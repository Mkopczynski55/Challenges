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00" documentId="8_{EB5D6685-4059-422F-A1C6-6045DAC41CB8}" xr6:coauthVersionLast="47" xr6:coauthVersionMax="47" xr10:uidLastSave="{DBAF98E7-1EFF-4A32-BF20-CA706564F7FB}"/>
  <bookViews>
    <workbookView xWindow="4635" yWindow="4635" windowWidth="38700" windowHeight="15345" xr2:uid="{00000000-000D-0000-FFFF-FFFF00000000}"/>
  </bookViews>
  <sheets>
    <sheet name="929" sheetId="1" r:id="rId1"/>
  </sheets>
  <definedNames>
    <definedName name="_xlnm._FilterDatabase" localSheetId="0" hidden="1">'929'!$A$2:$A$22</definedName>
    <definedName name="ExternalData_1" localSheetId="0" hidden="1">'929'!$L$2:$N$7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 a="1"/>
  <c r="P9" i="1" s="1"/>
  <c r="P2" i="1" a="1"/>
  <c r="P2" i="1" s="1"/>
  <c r="L9" i="1" a="1"/>
  <c r="L9" i="1" s="1"/>
  <c r="H9" i="1" a="1"/>
  <c r="H9" i="1" s="1"/>
  <c r="H2" i="1" a="1"/>
  <c r="H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E9790F-D374-42A1-B192-7A2BBF1FFE58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=xl(%P2%, headers=True)
df = df["Data"].str.split("_", expand = True)
df.columns = ["Delivery Date", "Truck ID", "Status", "Revenue"]
df["Delivery Date"] = pd.to_datetime(df["Delivery Date"], format = "%%Y-%%m-%%d")
df["Revenue"] = pd.to_numeric(df["Revenue"].str.replace("$", "").replace(".", ","))
df = df[df["Status"] == "DELIVERED"]
group = df.groupby("Truck ID").agg({
    "Revenue": [sum],
    "Delivery Date": [max]
    })
group.columns = ["Total Revenue", "Last Delivery Date"]
group = group.reset_index()
df = group.sort_values(by = ["Truck ID"], ascending = [True])
df
</code>
    </pythonScript>
  </pythonScripts>
</python>
</file>

<file path=xl/sharedStrings.xml><?xml version="1.0" encoding="utf-8"?>
<sst xmlns="http://schemas.openxmlformats.org/spreadsheetml/2006/main" count="41" uniqueCount="33">
  <si>
    <t>Answer Expected</t>
  </si>
  <si>
    <t>Data</t>
  </si>
  <si>
    <t>Truck ID</t>
  </si>
  <si>
    <t>Total Revenue</t>
  </si>
  <si>
    <t>Last Delivery Date</t>
  </si>
  <si>
    <t>2024-05-01_TRK882_DELIVERED_$450.50</t>
  </si>
  <si>
    <t>TRK121</t>
  </si>
  <si>
    <t>2024-05-01_TRK121_PENDING_$120.00</t>
  </si>
  <si>
    <t>TRK444</t>
  </si>
  <si>
    <t>2024-05-02_TRK882_IN-TRANSIT_$0.00</t>
  </si>
  <si>
    <t>TRK555</t>
  </si>
  <si>
    <t>2024-05-02_TRK900_DELIVERED_$980.25</t>
  </si>
  <si>
    <t>TRK882</t>
  </si>
  <si>
    <t>2024-05-02_TRK121_DELIVERED_$125.50</t>
  </si>
  <si>
    <t>TRK900</t>
  </si>
  <si>
    <t>2024-05-03_TRK882_DELIVERED_$50.00</t>
  </si>
  <si>
    <t>2024-05-03_TRK444_CANCELLED_$10.00</t>
  </si>
  <si>
    <t>2024-05-04_TRK900_DELIVERED_$20.75</t>
  </si>
  <si>
    <t>2024-05-04_TRK121_DELIVERED_$300.00</t>
  </si>
  <si>
    <t>2024-05-05_TRK555_PENDING_$500.00</t>
  </si>
  <si>
    <t>2024-05-05_TRK882_DELIVERED_$100.00</t>
  </si>
  <si>
    <t>2024-05-06_TRK900_REFUNDED_$-50.00</t>
  </si>
  <si>
    <t>2024-05-06_TRK444_DELIVERED_$45.00</t>
  </si>
  <si>
    <t>2024-05-07_TRK121_DELIVERED_$15.25</t>
  </si>
  <si>
    <t>2024-05-07_TRK555_DELIVERED_$520.00</t>
  </si>
  <si>
    <t>2024-05-08_TRK882_DELIVERED_$25.00</t>
  </si>
  <si>
    <t>2024-05-08_TRK900_DELIVERED_$110.00</t>
  </si>
  <si>
    <t>2024-05-09_TRK121_CANCELLED_$0.00</t>
  </si>
  <si>
    <t>2024-05-09_TRK444_DELIVERED_$200.00</t>
  </si>
  <si>
    <t>2024-05-10_TRK555_DELIVERED_$50.00</t>
  </si>
  <si>
    <t>Excel</t>
  </si>
  <si>
    <t>Power Query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</si>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</sst>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4">
    <dxf>
      <numFmt numFmtId="164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40CEA50C-E03C-4EB1-99F7-87BE2D06A5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142875</xdr:colOff>
      <xdr:row>23</xdr:row>
      <xdr:rowOff>171450</xdr:rowOff>
    </xdr:from>
    <xdr:to>
      <xdr:col>23</xdr:col>
      <xdr:colOff>312112</xdr:colOff>
      <xdr:row>78</xdr:row>
      <xdr:rowOff>95250</xdr:rowOff>
    </xdr:to>
    <xdr:pic>
      <xdr:nvPicPr>
        <xdr:cNvPr id="3" name="Picture 2" descr="Young business woman clapping">
          <a:extLst>
            <a:ext uri="{FF2B5EF4-FFF2-40B4-BE49-F238E27FC236}">
              <a16:creationId xmlns:a16="http://schemas.microsoft.com/office/drawing/2014/main" id="{44C87F9B-2A99-9249-B6E1-5C10CE45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54475" y="4552950"/>
          <a:ext cx="2607637" cy="10401300"/>
        </a:xfrm>
        <a:prstGeom prst="rect">
          <a:avLst/>
        </a:prstGeom>
      </xdr:spPr>
    </xdr:pic>
    <xdr:clientData/>
  </xdr:twoCellAnchor>
  <xdr:twoCellAnchor>
    <xdr:from>
      <xdr:col>15</xdr:col>
      <xdr:colOff>546100</xdr:colOff>
      <xdr:row>29</xdr:row>
      <xdr:rowOff>174625</xdr:rowOff>
    </xdr:from>
    <xdr:to>
      <xdr:col>19</xdr:col>
      <xdr:colOff>555625</xdr:colOff>
      <xdr:row>39</xdr:row>
      <xdr:rowOff>130175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B5BD563-3661-B4B5-17E8-4D749E76936F}"/>
            </a:ext>
          </a:extLst>
        </xdr:cNvPr>
        <xdr:cNvSpPr/>
      </xdr:nvSpPr>
      <xdr:spPr>
        <a:xfrm>
          <a:off x="14719300" y="5699125"/>
          <a:ext cx="2447925" cy="1860550"/>
        </a:xfrm>
        <a:prstGeom prst="cloudCallout">
          <a:avLst>
            <a:gd name="adj1" fmla="val 66886"/>
            <a:gd name="adj2" fmla="val -8697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Truck ID, find the total revenue for all "DELIVERED" shipments and Last Delivery Date. </a:t>
          </a:r>
        </a:p>
      </xdr:txBody>
    </xdr:sp>
    <xdr:clientData/>
  </xdr:twoCellAnchor>
  <xdr:twoCellAnchor editAs="oneCell">
    <xdr:from>
      <xdr:col>17</xdr:col>
      <xdr:colOff>447675</xdr:colOff>
      <xdr:row>39</xdr:row>
      <xdr:rowOff>136525</xdr:rowOff>
    </xdr:from>
    <xdr:to>
      <xdr:col>18</xdr:col>
      <xdr:colOff>279400</xdr:colOff>
      <xdr:row>41</xdr:row>
      <xdr:rowOff>79375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839DC6-6F0A-4470-A21F-FFEA1723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840075" y="7566025"/>
          <a:ext cx="11080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D790EF-2889-4E6F-9040-0C60DDF27C2D}" autoFormatId="16" applyNumberFormats="0" applyBorderFormats="0" applyFontFormats="0" applyPatternFormats="0" applyAlignmentFormats="0" applyWidthHeightFormats="0">
  <queryTableRefresh nextId="4">
    <queryTableFields count="3">
      <queryTableField id="1" name="Truck ID" tableColumnId="1"/>
      <queryTableField id="2" name="Total Revenue" tableColumnId="2"/>
      <queryTableField id="3" name="Last Delivery Date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fb>45419</fb>
    <v>0</v>
  </rv>
  <rv s="0">
    <fb>45421</fb>
    <v>0</v>
  </rv>
  <rv s="0">
    <fb>45422</fb>
    <v>0</v>
  </rv>
  <rv s="0">
    <fb>45420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D8F29-C6B5-4067-AFA4-3ADDC8AA2D36}" name="tblStart" displayName="tblStart" ref="A2:A22" totalsRowShown="0" headerRowDxfId="3">
  <autoFilter ref="A2:A22" xr:uid="{2FCD8F29-C6B5-4067-AFA4-3ADDC8AA2D36}"/>
  <tableColumns count="1">
    <tableColumn id="1" xr3:uid="{8EC4FA8D-88FC-4C00-84B7-B9554C78C56D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5E06D7-DF1A-42A5-8232-430E7EA7186B}" name="tblSolution" displayName="tblSolution" ref="L2:N7" tableType="queryTable" totalsRowShown="0" headerRowDxfId="2">
  <autoFilter ref="L2:N7" xr:uid="{1F5E06D7-DF1A-42A5-8232-430E7EA7186B}"/>
  <tableColumns count="3">
    <tableColumn id="1" xr3:uid="{9809B36A-5296-4385-B657-333A91A0D52D}" uniqueName="1" name="Truck ID" queryTableFieldId="1" dataDxfId="1"/>
    <tableColumn id="2" xr3:uid="{76FCACEA-E880-4595-AB40-37C043A4C128}" uniqueName="2" name="Total Revenue" queryTableFieldId="2"/>
    <tableColumn id="3" xr3:uid="{39EE87B1-DF45-4C5B-84E3-FEA071DD42D6}" uniqueName="3" name="Last Delivery Dat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R22"/>
  <sheetViews>
    <sheetView tabSelected="1" workbookViewId="0">
      <selection activeCell="I8" sqref="I8"/>
    </sheetView>
  </sheetViews>
  <sheetFormatPr defaultRowHeight="15" x14ac:dyDescent="0.25"/>
  <cols>
    <col min="1" max="1" width="35.42578125" bestFit="1" customWidth="1"/>
    <col min="2" max="2" width="3.85546875" customWidth="1"/>
    <col min="3" max="3" width="9.42578125" bestFit="1" customWidth="1"/>
    <col min="4" max="4" width="12.5703125" bestFit="1" customWidth="1"/>
    <col min="5" max="5" width="15.7109375" bestFit="1" customWidth="1"/>
    <col min="6" max="6" width="9.5703125" bestFit="1" customWidth="1"/>
    <col min="7" max="7" width="10.5703125" bestFit="1" customWidth="1"/>
    <col min="8" max="8" width="10.42578125" bestFit="1" customWidth="1"/>
    <col min="9" max="9" width="25.5703125" customWidth="1"/>
    <col min="10" max="10" width="17" bestFit="1" customWidth="1"/>
    <col min="11" max="11" width="7.5703125" bestFit="1" customWidth="1"/>
    <col min="12" max="12" width="10.28515625" bestFit="1" customWidth="1"/>
    <col min="13" max="13" width="16.140625" bestFit="1" customWidth="1"/>
    <col min="14" max="14" width="19.28515625" bestFit="1" customWidth="1"/>
    <col min="16" max="16" width="11.140625" bestFit="1" customWidth="1"/>
    <col min="17" max="17" width="16.28515625" customWidth="1"/>
    <col min="18" max="18" width="19.140625" customWidth="1"/>
  </cols>
  <sheetData>
    <row r="1" spans="1:18" s="2" customFormat="1" x14ac:dyDescent="0.25">
      <c r="C1" s="3" t="s">
        <v>0</v>
      </c>
      <c r="D1" s="3"/>
      <c r="E1" s="3"/>
      <c r="H1" s="2" t="s">
        <v>30</v>
      </c>
      <c r="L1" s="2" t="s">
        <v>31</v>
      </c>
      <c r="P1" s="2" t="s">
        <v>32</v>
      </c>
    </row>
    <row r="2" spans="1:18" s="2" customFormat="1" x14ac:dyDescent="0.25">
      <c r="A2" s="5" t="s">
        <v>1</v>
      </c>
      <c r="C2" s="4" t="s">
        <v>2</v>
      </c>
      <c r="D2" s="4" t="s">
        <v>3</v>
      </c>
      <c r="E2" s="4" t="s">
        <v>4</v>
      </c>
      <c r="H2" s="2" t="str" cm="1">
        <f t="array" ref="H2:J7">_xlfn.LET(
_xlpm._rawData_, tblStart[Data],
_xlpm._stagingData_, SUBSTITUTE(SUBSTITUTE(_xlfn.TEXTSPLIT(_xlfn.TEXTJOIN(";",0,_xlpm._rawData_),"_",";",1), "$",""), ".", ","),
_xlpm._cleanData_, IFERROR(--_xlpm._stagingData_, _xlpm._stagingData_),
_xlpm._group_, _xlfn.DROP(_xlfn.GROUPBY(_xlfn.CHOOSECOLS(_xlpm._cleanData_, 2), _xlfn.HSTACK(_xlfn.CHOOSECOLS(_xlpm._cleanData_, 4), _xlfn.CHOOSECOLS(_xlpm._cleanData_, 1)), _xlfn.HSTACK(_xlfn.LAMBDA(_xlpm.r, SUM(_xlpm.r)), _xlfn.LAMBDA(_xlpm.d, MAX(_xlpm.d))),0,0,1, _xlfn.CHOOSECOLS(_xlpm._cleanData_, 3) = "DELIVERED"), 1),
_xlpm._headers_, {"Truck ID","Total Revenue","Last Delivery Date"},
_xlpm._res_, _xlfn.VSTACK(_xlpm._headers_, _xlpm._group_),
_xlpm._res_)</f>
        <v>Truck ID</v>
      </c>
      <c r="I2" s="2" t="str">
        <v>Total Revenue</v>
      </c>
      <c r="J2" s="2" t="str">
        <v>Last Delivery Date</v>
      </c>
      <c r="L2" s="2" t="s">
        <v>2</v>
      </c>
      <c r="M2" s="2" t="s">
        <v>3</v>
      </c>
      <c r="N2" s="2" t="s">
        <v>4</v>
      </c>
      <c r="P2" s="2" t="str" cm="1">
        <f t="array" ref="P2:R7">_xlfn._xlws.PY(0,0,A2:A22)</f>
        <v>Truck ID</v>
      </c>
      <c r="Q2" s="2" t="str">
        <v>Total Revenue</v>
      </c>
      <c r="R2" s="2" t="str">
        <v>Last Delivery Date</v>
      </c>
    </row>
    <row r="3" spans="1:18" x14ac:dyDescent="0.25">
      <c r="A3" t="s">
        <v>5</v>
      </c>
      <c r="C3" t="s">
        <v>6</v>
      </c>
      <c r="D3">
        <v>440.75</v>
      </c>
      <c r="E3" s="1">
        <v>45419</v>
      </c>
      <c r="H3" t="str">
        <v>TRK121</v>
      </c>
      <c r="I3">
        <v>440.75</v>
      </c>
      <c r="J3">
        <v>45419</v>
      </c>
      <c r="L3" t="s">
        <v>6</v>
      </c>
      <c r="M3">
        <v>440.75</v>
      </c>
      <c r="N3" s="1">
        <v>45419</v>
      </c>
      <c r="P3" t="str">
        <v>TRK121</v>
      </c>
      <c r="Q3">
        <v>440.75</v>
      </c>
      <c r="R3" vm="1">
        <v>45419</v>
      </c>
    </row>
    <row r="4" spans="1:18" x14ac:dyDescent="0.25">
      <c r="A4" t="s">
        <v>7</v>
      </c>
      <c r="C4" t="s">
        <v>8</v>
      </c>
      <c r="D4">
        <v>245</v>
      </c>
      <c r="E4" s="1">
        <v>45421</v>
      </c>
      <c r="H4" t="str">
        <v>TRK444</v>
      </c>
      <c r="I4">
        <v>245</v>
      </c>
      <c r="J4">
        <v>45421</v>
      </c>
      <c r="L4" t="s">
        <v>8</v>
      </c>
      <c r="M4">
        <v>245</v>
      </c>
      <c r="N4" s="1">
        <v>45421</v>
      </c>
      <c r="P4" t="str">
        <v>TRK444</v>
      </c>
      <c r="Q4">
        <v>245</v>
      </c>
      <c r="R4" vm="2">
        <v>45421</v>
      </c>
    </row>
    <row r="5" spans="1:18" x14ac:dyDescent="0.25">
      <c r="A5" t="s">
        <v>9</v>
      </c>
      <c r="C5" t="s">
        <v>10</v>
      </c>
      <c r="D5">
        <v>570</v>
      </c>
      <c r="E5" s="1">
        <v>45422</v>
      </c>
      <c r="H5" t="str">
        <v>TRK555</v>
      </c>
      <c r="I5">
        <v>570</v>
      </c>
      <c r="J5">
        <v>45422</v>
      </c>
      <c r="L5" t="s">
        <v>10</v>
      </c>
      <c r="M5">
        <v>570</v>
      </c>
      <c r="N5" s="1">
        <v>45422</v>
      </c>
      <c r="P5" t="str">
        <v>TRK555</v>
      </c>
      <c r="Q5">
        <v>570</v>
      </c>
      <c r="R5" vm="3">
        <v>45422</v>
      </c>
    </row>
    <row r="6" spans="1:18" x14ac:dyDescent="0.25">
      <c r="A6" t="s">
        <v>11</v>
      </c>
      <c r="B6" s="2"/>
      <c r="C6" t="s">
        <v>12</v>
      </c>
      <c r="D6">
        <v>625.5</v>
      </c>
      <c r="E6" s="1">
        <v>45420</v>
      </c>
      <c r="H6" t="str">
        <v>TRK882</v>
      </c>
      <c r="I6">
        <v>625.5</v>
      </c>
      <c r="J6">
        <v>45420</v>
      </c>
      <c r="L6" t="s">
        <v>12</v>
      </c>
      <c r="M6">
        <v>625.5</v>
      </c>
      <c r="N6" s="1">
        <v>45420</v>
      </c>
      <c r="P6" t="str">
        <v>TRK882</v>
      </c>
      <c r="Q6">
        <v>625.5</v>
      </c>
      <c r="R6" vm="4">
        <v>45420</v>
      </c>
    </row>
    <row r="7" spans="1:18" x14ac:dyDescent="0.25">
      <c r="A7" t="s">
        <v>13</v>
      </c>
      <c r="C7" t="s">
        <v>14</v>
      </c>
      <c r="D7">
        <v>1111</v>
      </c>
      <c r="E7" s="1">
        <v>45420</v>
      </c>
      <c r="H7" t="str">
        <v>TRK900</v>
      </c>
      <c r="I7">
        <v>1111</v>
      </c>
      <c r="J7">
        <v>45420</v>
      </c>
      <c r="L7" t="s">
        <v>14</v>
      </c>
      <c r="M7">
        <v>1111</v>
      </c>
      <c r="N7" s="1">
        <v>45420</v>
      </c>
      <c r="P7" t="str">
        <v>TRK900</v>
      </c>
      <c r="Q7">
        <v>1111</v>
      </c>
      <c r="R7" vm="4">
        <v>45420</v>
      </c>
    </row>
    <row r="8" spans="1:18" x14ac:dyDescent="0.25">
      <c r="A8" t="s">
        <v>15</v>
      </c>
    </row>
    <row r="9" spans="1:18" x14ac:dyDescent="0.25">
      <c r="A9" t="s">
        <v>16</v>
      </c>
      <c r="H9" s="2" t="b" cm="1">
        <f t="array" ref="H9:J14">C2:E7=_xlfn.ANCHORARRAY(H2)</f>
        <v>1</v>
      </c>
      <c r="I9" t="b">
        <v>1</v>
      </c>
      <c r="J9" t="b">
        <v>1</v>
      </c>
      <c r="L9" t="b" cm="1">
        <f t="array" ref="L9:N14">tblSolution[#All]=C2:E7</f>
        <v>1</v>
      </c>
      <c r="M9" t="b">
        <v>1</v>
      </c>
      <c r="N9" t="b">
        <v>1</v>
      </c>
      <c r="P9" t="b" cm="1">
        <f t="array" ref="P9:R14">_xlfn.ANCHORARRAY(P2)=C2:E7</f>
        <v>1</v>
      </c>
      <c r="Q9" t="b">
        <v>1</v>
      </c>
      <c r="R9" t="b">
        <v>1</v>
      </c>
    </row>
    <row r="10" spans="1:18" x14ac:dyDescent="0.25">
      <c r="A10" t="s">
        <v>17</v>
      </c>
      <c r="H10" t="b">
        <v>1</v>
      </c>
      <c r="I10" t="b">
        <v>1</v>
      </c>
      <c r="J10" t="b">
        <v>1</v>
      </c>
      <c r="L10" t="b">
        <v>1</v>
      </c>
      <c r="M10" t="b">
        <v>1</v>
      </c>
      <c r="N10" t="b">
        <v>1</v>
      </c>
      <c r="P10" t="b">
        <v>1</v>
      </c>
      <c r="Q10" t="b">
        <v>1</v>
      </c>
      <c r="R10" t="b">
        <v>1</v>
      </c>
    </row>
    <row r="11" spans="1:18" x14ac:dyDescent="0.25">
      <c r="A11" t="s">
        <v>18</v>
      </c>
      <c r="H11" t="b">
        <v>1</v>
      </c>
      <c r="I11" t="b">
        <v>1</v>
      </c>
      <c r="J11" t="b">
        <v>1</v>
      </c>
      <c r="L11" t="b">
        <v>1</v>
      </c>
      <c r="M11" t="b">
        <v>1</v>
      </c>
      <c r="N11" t="b">
        <v>1</v>
      </c>
      <c r="P11" t="b">
        <v>1</v>
      </c>
      <c r="Q11" t="b">
        <v>1</v>
      </c>
      <c r="R11" t="b">
        <v>1</v>
      </c>
    </row>
    <row r="12" spans="1:18" x14ac:dyDescent="0.25">
      <c r="A12" t="s">
        <v>19</v>
      </c>
      <c r="H12" t="b">
        <v>1</v>
      </c>
      <c r="I12" t="b">
        <v>1</v>
      </c>
      <c r="J12" t="b">
        <v>1</v>
      </c>
      <c r="L12" t="b">
        <v>1</v>
      </c>
      <c r="M12" t="b">
        <v>1</v>
      </c>
      <c r="N12" t="b">
        <v>1</v>
      </c>
      <c r="P12" t="b">
        <v>1</v>
      </c>
      <c r="Q12" t="b">
        <v>1</v>
      </c>
      <c r="R12" t="b">
        <v>1</v>
      </c>
    </row>
    <row r="13" spans="1:18" x14ac:dyDescent="0.25">
      <c r="A13" t="s">
        <v>20</v>
      </c>
      <c r="H13" t="b">
        <v>1</v>
      </c>
      <c r="I13" t="b">
        <v>1</v>
      </c>
      <c r="J13" t="b">
        <v>1</v>
      </c>
      <c r="L13" t="b">
        <v>1</v>
      </c>
      <c r="M13" t="b">
        <v>1</v>
      </c>
      <c r="N13" t="b">
        <v>1</v>
      </c>
      <c r="P13" t="b">
        <v>1</v>
      </c>
      <c r="Q13" t="b">
        <v>1</v>
      </c>
      <c r="R13" t="b">
        <v>1</v>
      </c>
    </row>
    <row r="14" spans="1:18" x14ac:dyDescent="0.25">
      <c r="A14" t="s">
        <v>21</v>
      </c>
      <c r="H14" t="b">
        <v>1</v>
      </c>
      <c r="I14" t="b">
        <v>1</v>
      </c>
      <c r="J14" t="b">
        <v>1</v>
      </c>
      <c r="L14" t="b">
        <v>1</v>
      </c>
      <c r="M14" t="b">
        <v>1</v>
      </c>
      <c r="N14" t="b">
        <v>1</v>
      </c>
      <c r="P14" t="b">
        <v>1</v>
      </c>
      <c r="Q14" t="b">
        <v>1</v>
      </c>
      <c r="R14" t="b">
        <v>1</v>
      </c>
    </row>
    <row r="15" spans="1:18" x14ac:dyDescent="0.25">
      <c r="A15" t="s">
        <v>22</v>
      </c>
    </row>
    <row r="16" spans="1:18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</sheetData>
  <sortState xmlns:xlrd2="http://schemas.microsoft.com/office/spreadsheetml/2017/richdata2" ref="C3:E7">
    <sortCondition ref="C2:C7"/>
  </sortState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46051D-0492-4E5E-A7E0-EB6C318A559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2026-03-25T18:03:36Z</dcterms:modified>
  <cp:category/>
  <cp:contentStatus/>
</cp:coreProperties>
</file>