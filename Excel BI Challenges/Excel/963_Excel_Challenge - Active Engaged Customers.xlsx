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71" documentId="8_{1AD80D34-9BC9-4E25-BF0A-F3BA46ADF030}" xr6:coauthVersionLast="47" xr6:coauthVersionMax="47" xr10:uidLastSave="{11F31E2E-43A6-49D8-A2EE-EFCD237632B2}"/>
  <bookViews>
    <workbookView xWindow="-120" yWindow="-120" windowWidth="29040" windowHeight="15720" xr2:uid="{00000000-000D-0000-FFFF-FFFF00000000}"/>
  </bookViews>
  <sheets>
    <sheet name="963" sheetId="1" r:id="rId1"/>
  </sheets>
  <definedNames>
    <definedName name="_xlnm._FilterDatabase" localSheetId="0" hidden="1">'963'!$A$2:$B$2</definedName>
    <definedName name="ExternalData_1" localSheetId="0" hidden="1">'963'!$H$2:$J$32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 a="1"/>
  <c r="X2" i="1" a="1"/>
  <c r="P2" i="1" a="1"/>
  <c r="L2" i="1" a="1"/>
  <c r="AB2" i="1" l="1"/>
  <c r="X2" i="1"/>
  <c r="P2" i="1"/>
  <c r="T2" i="1" a="1"/>
  <c r="L2" i="1"/>
  <c r="T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B5AF4-35CE-4454-8CD1-729E6C3C405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cellMetadata count="1">
    <bk>
      <rc t="1" v="0"/>
    </bk>
  </cellMetadata>
  <valueMetadata count="3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from datetime import timedelta
df = xl(%P2%, headers = True)
unq_dates = sorted(list(set(df["ActivityDate"])))
dfr = pd.DataFrame({"Date": unq_dates})
dfr["Active"] = dfr["Date"].apply(
lambda x: len(set(df[(df["ActivityDate"] &gt;= (x - timedelta(days=29))) &amp; (df["ActivityDate"] &lt;= x)]["CustomerID"])))
dfr["Engaged"] = dfr["Date"].apply(
    lambda x: len([z[0] for z in [[i, len(df[(df["ActivityDate"] &gt;= (x - timedelta(days=29))) &amp; (df["ActivityDate"] &lt;= x) &amp; (df["CustomerID"] == i)])] for i in set(df[(df["ActivityDate"] &gt;= (x - timedelta(days=29))) &amp; (df["ActivityDate"] &lt;= x)]["CustomerID"])] if z[1] &gt;=3]))
dfr
    </code>
    </pythonScript>
  </pythonScripts>
</python>
</file>

<file path=xl/sharedStrings.xml><?xml version="1.0" encoding="utf-8"?>
<sst xmlns="http://schemas.openxmlformats.org/spreadsheetml/2006/main" count="49" uniqueCount="21">
  <si>
    <t>Answer Expected</t>
  </si>
  <si>
    <t>CustomerID</t>
  </si>
  <si>
    <t>ActivityDate</t>
  </si>
  <si>
    <t>Date</t>
  </si>
  <si>
    <t>Active</t>
  </si>
  <si>
    <t>Engaged</t>
  </si>
  <si>
    <t>C005</t>
  </si>
  <si>
    <t>C009</t>
  </si>
  <si>
    <t>C007</t>
  </si>
  <si>
    <t>C013</t>
  </si>
  <si>
    <t>C012</t>
  </si>
  <si>
    <t>C001</t>
  </si>
  <si>
    <t>C002</t>
  </si>
  <si>
    <t>C014</t>
  </si>
  <si>
    <t>C003</t>
  </si>
  <si>
    <t>C011</t>
  </si>
  <si>
    <t>C010</t>
  </si>
  <si>
    <t>C006</t>
  </si>
  <si>
    <t>C004</t>
  </si>
  <si>
    <t>C008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</si>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</sst>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  <xf numFmtId="14" fontId="1" fillId="0" borderId="0" xfId="0" applyNumberFormat="1" applyFont="1"/>
  </cellXfs>
  <cellStyles count="1">
    <cellStyle name="Normalny" xfId="0" builtinId="0"/>
  </cellStyles>
  <dxfs count="4"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numFmt numFmtId="19" formatCode="d/mm/yyyy"/>
    </dxf>
  </dxfs>
  <tableStyles count="1" defaultTableStyle="TableStyleMedium2" defaultPivotStyle="PivotStyleLight16">
    <tableStyle name="Invisible" pivot="0" table="0" count="0" xr9:uid="{2A9843EE-C4CC-4E9E-A3FB-33BA295D73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29CABE-110B-43D3-A272-5F2525ED4143}" autoFormatId="16" applyNumberFormats="0" applyBorderFormats="0" applyFontFormats="0" applyPatternFormats="0" applyAlignmentFormats="0" applyWidthHeightFormats="0">
  <queryTableRefresh nextId="6">
    <queryTableFields count="3">
      <queryTableField id="4" name="Date" tableColumnId="4"/>
      <queryTableField id="2" name="Active" tableColumnId="2"/>
      <queryTableField id="3" name="Engaged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fb>45292</fb>
    <v>0</v>
  </rv>
  <rv s="0">
    <fb>45295</fb>
    <v>0</v>
  </rv>
  <rv s="0">
    <fb>45296</fb>
    <v>0</v>
  </rv>
  <rv s="0">
    <fb>45297</fb>
    <v>0</v>
  </rv>
  <rv s="0">
    <fb>45300</fb>
    <v>0</v>
  </rv>
  <rv s="0">
    <fb>45303</fb>
    <v>0</v>
  </rv>
  <rv s="0">
    <fb>45304</fb>
    <v>0</v>
  </rv>
  <rv s="0">
    <fb>45305</fb>
    <v>0</v>
  </rv>
  <rv s="0">
    <fb>45306</fb>
    <v>0</v>
  </rv>
  <rv s="0">
    <fb>45307</fb>
    <v>0</v>
  </rv>
  <rv s="0">
    <fb>45312</fb>
    <v>0</v>
  </rv>
  <rv s="0">
    <fb>45316</fb>
    <v>0</v>
  </rv>
  <rv s="0">
    <fb>45317</fb>
    <v>0</v>
  </rv>
  <rv s="0">
    <fb>45318</fb>
    <v>0</v>
  </rv>
  <rv s="0">
    <fb>45319</fb>
    <v>0</v>
  </rv>
  <rv s="0">
    <fb>45320</fb>
    <v>0</v>
  </rv>
  <rv s="0">
    <fb>45321</fb>
    <v>0</v>
  </rv>
  <rv s="0">
    <fb>45325</fb>
    <v>0</v>
  </rv>
  <rv s="0">
    <fb>45327</fb>
    <v>0</v>
  </rv>
  <rv s="0">
    <fb>45329</fb>
    <v>0</v>
  </rv>
  <rv s="0">
    <fb>45335</fb>
    <v>0</v>
  </rv>
  <rv s="0">
    <fb>45336</fb>
    <v>0</v>
  </rv>
  <rv s="0">
    <fb>45338</fb>
    <v>0</v>
  </rv>
  <rv s="0">
    <fb>45339</fb>
    <v>0</v>
  </rv>
  <rv s="0">
    <fb>45340</fb>
    <v>0</v>
  </rv>
  <rv s="0">
    <fb>45346</fb>
    <v>0</v>
  </rv>
  <rv s="0">
    <fb>45350</fb>
    <v>0</v>
  </rv>
  <rv s="0">
    <fb>45361</fb>
    <v>0</v>
  </rv>
  <rv s="0">
    <fb>45362</fb>
    <v>0</v>
  </rv>
  <rv s="0">
    <fb>45367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87663-80B6-4E0E-8A05-7D5044882CEE}" name="tblStart" displayName="tblStart" ref="A2:B42" totalsRowShown="0" headerRowDxfId="2">
  <autoFilter ref="A2:B42" xr:uid="{32F87663-80B6-4E0E-8A05-7D5044882CEE}"/>
  <tableColumns count="2">
    <tableColumn id="1" xr3:uid="{15E9C264-686C-4655-8F3F-D3E5B8290DEF}" name="CustomerID"/>
    <tableColumn id="2" xr3:uid="{A3F8C623-B701-49E4-A3C0-B4A93652CE1E}" name="ActivityDa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75B2CC-F652-499D-A866-D91DDEC77D69}" name="tblSolution" displayName="tblSolution" ref="H2:J32" tableType="queryTable" totalsRowShown="0" headerRowDxfId="1">
  <autoFilter ref="H2:J32" xr:uid="{4675B2CC-F652-499D-A866-D91DDEC77D69}"/>
  <tableColumns count="3">
    <tableColumn id="4" xr3:uid="{895BC591-EE2F-4849-8A68-9914A9D3DFDF}" uniqueName="4" name="Date" queryTableFieldId="4" dataDxfId="0"/>
    <tableColumn id="2" xr3:uid="{3AD94776-4769-49DB-B280-27A1D650886A}" uniqueName="2" name="Active" queryTableFieldId="2"/>
    <tableColumn id="3" xr3:uid="{A1EAEB38-FFF6-4C29-9133-AE5FF4C6A1BF}" uniqueName="3" name="Engaged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"/>
  <sheetViews>
    <sheetView tabSelected="1" topLeftCell="K1" workbookViewId="0">
      <selection activeCell="X2" sqref="X2"/>
    </sheetView>
  </sheetViews>
  <sheetFormatPr defaultRowHeight="15" x14ac:dyDescent="0.25"/>
  <cols>
    <col min="1" max="1" width="13.5703125" customWidth="1"/>
    <col min="2" max="2" width="14" customWidth="1"/>
    <col min="3" max="3" width="2.140625" customWidth="1"/>
    <col min="4" max="4" width="10.140625" bestFit="1" customWidth="1"/>
    <col min="5" max="5" width="6.7109375" bestFit="1" customWidth="1"/>
    <col min="6" max="6" width="7.85546875" bestFit="1" customWidth="1"/>
    <col min="8" max="8" width="10.28515625" bestFit="1" customWidth="1"/>
    <col min="9" max="9" width="8.85546875" bestFit="1" customWidth="1"/>
    <col min="10" max="11" width="10.7109375" bestFit="1" customWidth="1"/>
    <col min="16" max="16" width="10.140625" bestFit="1" customWidth="1"/>
    <col min="24" max="24" width="11.140625" bestFit="1" customWidth="1"/>
  </cols>
  <sheetData>
    <row r="1" spans="1:30" s="2" customFormat="1" x14ac:dyDescent="0.25">
      <c r="D1" s="3" t="s">
        <v>0</v>
      </c>
      <c r="E1" s="3"/>
      <c r="F1" s="3"/>
    </row>
    <row r="2" spans="1:30" s="2" customFormat="1" x14ac:dyDescent="0.25">
      <c r="A2" s="5" t="s">
        <v>1</v>
      </c>
      <c r="B2" s="5" t="s">
        <v>2</v>
      </c>
      <c r="D2" s="4" t="s">
        <v>3</v>
      </c>
      <c r="E2" s="4" t="s">
        <v>4</v>
      </c>
      <c r="F2" s="4" t="s">
        <v>5</v>
      </c>
      <c r="H2" t="s">
        <v>3</v>
      </c>
      <c r="I2" s="2" t="s">
        <v>4</v>
      </c>
      <c r="J2" s="2" t="s">
        <v>5</v>
      </c>
      <c r="L2" s="2" t="b" cm="1">
        <f t="array" ref="L2:N32">tblSolution[#All]=D2:F32</f>
        <v>1</v>
      </c>
      <c r="M2" s="2" t="b">
        <v>1</v>
      </c>
      <c r="N2" s="2" t="b">
        <v>1</v>
      </c>
      <c r="P2" t="str" cm="1">
        <f t="array" ref="P2:R32">_xlfn.LET(
_xlpm._data_, tblStart[],
_xlpm._aD_, _xlfn.CHOOSECOLS(_xlpm._data_, 2),
_xlpm._aC_, _xlfn.CHOOSECOLS(_xlpm._data_, 1),
_xlpm._dates_, _xlfn._xlws.SORT(_xlfn.UNIQUE(_xlpm._aD_)),
_xlpm._m1_, _xlfn.MAP(_xlpm._dates_, _xlfn.LAMBDA(_xlpm.d, COUNTA(_xlfn.UNIQUE(_xlfn._xlws.FILTER(_xlpm._aC_,(_xlpm._aD_&gt;=_xlpm.d-29)*(_xlpm._aD_&lt;=_xlpm.d)))))),
_xlpm._m2_, _xlfn.MAP(_xlpm._dates_, _xlfn.LAMBDA(_xlpm.d, _xlfn.LET(_xlpm.h, _xlfn.UNIQUE(_xlfn._xlws.FILTER(_xlpm._aC_,(_xlpm._aD_&gt;=_xlpm.d-29)*(_xlpm._aD_&lt;=_xlpm.d))), _xlpm.f, SUM(--(_xlfn.MAP(_xlpm.h,_xlfn.LAMBDA(_xlpm.t,COUNTA(_xlfn._xlws.FILTER(_xlpm._aC_,(_xlpm._aD_&gt;=_xlpm.d-29)*(_xlpm._aD_&lt;=_xlpm.d)*(_xlpm._aC_=_xlpm.t)))))&gt;=3)), _xlpm.f))),
_xlpm._headers_, {"Date","Active","Engaged"},
_xlpm._sol_, _xlfn.VSTACK(_xlpm._headers_, _xlfn.HSTACK(_xlpm._dates_, _xlpm._m1_, _xlpm._m2_)),
_xlpm._sol_)</f>
        <v>Date</v>
      </c>
      <c r="Q2" s="6" t="str">
        <v>Active</v>
      </c>
      <c r="R2" t="str">
        <v>Engaged</v>
      </c>
      <c r="T2" s="2" t="b" cm="1">
        <f t="array" ref="T2:V32">_xlfn.ANCHORARRAY(P2)=tblSolution[#All]</f>
        <v>1</v>
      </c>
      <c r="U2" s="2" t="b">
        <v>1</v>
      </c>
      <c r="V2" s="2" t="b">
        <v>1</v>
      </c>
      <c r="X2" s="2" t="str" cm="1">
        <f t="array" ref="X2:Z32">_xlfn._xlws.PY(0,0,A2:B42)</f>
        <v>Date</v>
      </c>
      <c r="Y2" s="2" t="str">
        <v>Active</v>
      </c>
      <c r="Z2" s="2" t="str">
        <v>Engaged</v>
      </c>
      <c r="AB2" s="2" t="b" cm="1">
        <f t="array" ref="AB2:AD32">_xlfn.ANCHORARRAY(X2)=tblSolution[#All]</f>
        <v>1</v>
      </c>
      <c r="AC2" s="2" t="b">
        <v>1</v>
      </c>
      <c r="AD2" s="2" t="b">
        <v>1</v>
      </c>
    </row>
    <row r="3" spans="1:30" x14ac:dyDescent="0.25">
      <c r="A3" t="s">
        <v>6</v>
      </c>
      <c r="B3" s="1">
        <v>45292</v>
      </c>
      <c r="D3" s="1">
        <v>45292</v>
      </c>
      <c r="E3">
        <v>1</v>
      </c>
      <c r="F3">
        <v>0</v>
      </c>
      <c r="H3" s="1">
        <v>45292</v>
      </c>
      <c r="I3">
        <v>1</v>
      </c>
      <c r="J3">
        <v>0</v>
      </c>
      <c r="L3" t="b">
        <v>1</v>
      </c>
      <c r="M3" t="b">
        <v>1</v>
      </c>
      <c r="N3" t="b">
        <v>1</v>
      </c>
      <c r="P3">
        <v>45292</v>
      </c>
      <c r="Q3">
        <v>1</v>
      </c>
      <c r="R3">
        <v>0</v>
      </c>
      <c r="T3" t="b">
        <v>1</v>
      </c>
      <c r="U3" t="b">
        <v>1</v>
      </c>
      <c r="V3" t="b">
        <v>1</v>
      </c>
      <c r="X3" vm="1">
        <v>45292</v>
      </c>
      <c r="Y3">
        <v>1</v>
      </c>
      <c r="Z3">
        <v>0</v>
      </c>
      <c r="AB3" t="b">
        <v>1</v>
      </c>
      <c r="AC3" t="b">
        <v>1</v>
      </c>
      <c r="AD3" t="b">
        <v>1</v>
      </c>
    </row>
    <row r="4" spans="1:30" x14ac:dyDescent="0.25">
      <c r="A4" t="s">
        <v>7</v>
      </c>
      <c r="B4" s="1">
        <v>45295</v>
      </c>
      <c r="D4" s="1">
        <v>45295</v>
      </c>
      <c r="E4">
        <v>2</v>
      </c>
      <c r="F4">
        <v>0</v>
      </c>
      <c r="H4" s="1">
        <v>45295</v>
      </c>
      <c r="I4">
        <v>2</v>
      </c>
      <c r="J4">
        <v>0</v>
      </c>
      <c r="L4" t="b">
        <v>1</v>
      </c>
      <c r="M4" t="b">
        <v>1</v>
      </c>
      <c r="N4" t="b">
        <v>1</v>
      </c>
      <c r="P4" s="1">
        <v>45295</v>
      </c>
      <c r="Q4">
        <v>2</v>
      </c>
      <c r="R4">
        <v>0</v>
      </c>
      <c r="T4" t="b">
        <v>1</v>
      </c>
      <c r="U4" t="b">
        <v>1</v>
      </c>
      <c r="V4" t="b">
        <v>1</v>
      </c>
      <c r="X4" vm="2">
        <v>45295</v>
      </c>
      <c r="Y4">
        <v>2</v>
      </c>
      <c r="Z4">
        <v>0</v>
      </c>
      <c r="AB4" t="b">
        <v>1</v>
      </c>
      <c r="AC4" t="b">
        <v>1</v>
      </c>
      <c r="AD4" t="b">
        <v>1</v>
      </c>
    </row>
    <row r="5" spans="1:30" x14ac:dyDescent="0.25">
      <c r="A5" t="s">
        <v>8</v>
      </c>
      <c r="B5" s="1">
        <v>45296</v>
      </c>
      <c r="D5" s="1">
        <v>45296</v>
      </c>
      <c r="E5">
        <v>3</v>
      </c>
      <c r="F5">
        <v>0</v>
      </c>
      <c r="H5" s="1">
        <v>45296</v>
      </c>
      <c r="I5">
        <v>3</v>
      </c>
      <c r="J5">
        <v>0</v>
      </c>
      <c r="L5" t="b">
        <v>1</v>
      </c>
      <c r="M5" t="b">
        <v>1</v>
      </c>
      <c r="N5" t="b">
        <v>1</v>
      </c>
      <c r="P5" s="1">
        <v>45296</v>
      </c>
      <c r="Q5">
        <v>3</v>
      </c>
      <c r="R5">
        <v>0</v>
      </c>
      <c r="T5" t="b">
        <v>1</v>
      </c>
      <c r="U5" t="b">
        <v>1</v>
      </c>
      <c r="V5" t="b">
        <v>1</v>
      </c>
      <c r="X5" vm="3">
        <v>45296</v>
      </c>
      <c r="Y5">
        <v>3</v>
      </c>
      <c r="Z5">
        <v>0</v>
      </c>
      <c r="AB5" t="b">
        <v>1</v>
      </c>
      <c r="AC5" t="b">
        <v>1</v>
      </c>
      <c r="AD5" t="b">
        <v>1</v>
      </c>
    </row>
    <row r="6" spans="1:30" x14ac:dyDescent="0.25">
      <c r="A6" t="s">
        <v>9</v>
      </c>
      <c r="B6" s="1">
        <v>45297</v>
      </c>
      <c r="D6" s="1">
        <v>45297</v>
      </c>
      <c r="E6">
        <v>4</v>
      </c>
      <c r="F6">
        <v>0</v>
      </c>
      <c r="H6" s="1">
        <v>45297</v>
      </c>
      <c r="I6">
        <v>4</v>
      </c>
      <c r="J6">
        <v>0</v>
      </c>
      <c r="L6" t="b">
        <v>1</v>
      </c>
      <c r="M6" t="b">
        <v>1</v>
      </c>
      <c r="N6" t="b">
        <v>1</v>
      </c>
      <c r="P6" s="1">
        <v>45297</v>
      </c>
      <c r="Q6">
        <v>4</v>
      </c>
      <c r="R6">
        <v>0</v>
      </c>
      <c r="T6" t="b">
        <v>1</v>
      </c>
      <c r="U6" t="b">
        <v>1</v>
      </c>
      <c r="V6" t="b">
        <v>1</v>
      </c>
      <c r="X6" vm="4">
        <v>45297</v>
      </c>
      <c r="Y6">
        <v>4</v>
      </c>
      <c r="Z6">
        <v>0</v>
      </c>
      <c r="AB6" t="b">
        <v>1</v>
      </c>
      <c r="AC6" t="b">
        <v>1</v>
      </c>
      <c r="AD6" t="b">
        <v>1</v>
      </c>
    </row>
    <row r="7" spans="1:30" x14ac:dyDescent="0.25">
      <c r="A7" t="s">
        <v>10</v>
      </c>
      <c r="B7" s="1">
        <v>45300</v>
      </c>
      <c r="D7" s="1">
        <v>45300</v>
      </c>
      <c r="E7">
        <v>5</v>
      </c>
      <c r="F7">
        <v>0</v>
      </c>
      <c r="H7" s="1">
        <v>45300</v>
      </c>
      <c r="I7">
        <v>5</v>
      </c>
      <c r="J7">
        <v>0</v>
      </c>
      <c r="L7" t="b">
        <v>1</v>
      </c>
      <c r="M7" t="b">
        <v>1</v>
      </c>
      <c r="N7" t="b">
        <v>1</v>
      </c>
      <c r="P7" s="1">
        <v>45300</v>
      </c>
      <c r="Q7">
        <v>5</v>
      </c>
      <c r="R7">
        <v>0</v>
      </c>
      <c r="T7" t="b">
        <v>1</v>
      </c>
      <c r="U7" t="b">
        <v>1</v>
      </c>
      <c r="V7" t="b">
        <v>1</v>
      </c>
      <c r="X7" vm="5">
        <v>45300</v>
      </c>
      <c r="Y7">
        <v>5</v>
      </c>
      <c r="Z7">
        <v>0</v>
      </c>
      <c r="AB7" t="b">
        <v>1</v>
      </c>
      <c r="AC7" t="b">
        <v>1</v>
      </c>
      <c r="AD7" t="b">
        <v>1</v>
      </c>
    </row>
    <row r="8" spans="1:30" x14ac:dyDescent="0.25">
      <c r="A8" t="s">
        <v>11</v>
      </c>
      <c r="B8" s="1">
        <v>45303</v>
      </c>
      <c r="D8" s="1">
        <v>45303</v>
      </c>
      <c r="E8">
        <v>7</v>
      </c>
      <c r="F8">
        <v>0</v>
      </c>
      <c r="H8" s="1">
        <v>45303</v>
      </c>
      <c r="I8">
        <v>7</v>
      </c>
      <c r="J8">
        <v>0</v>
      </c>
      <c r="L8" t="b">
        <v>1</v>
      </c>
      <c r="M8" t="b">
        <v>1</v>
      </c>
      <c r="N8" t="b">
        <v>1</v>
      </c>
      <c r="P8" s="1">
        <v>45303</v>
      </c>
      <c r="Q8">
        <v>7</v>
      </c>
      <c r="R8">
        <v>0</v>
      </c>
      <c r="T8" t="b">
        <v>1</v>
      </c>
      <c r="U8" t="b">
        <v>1</v>
      </c>
      <c r="V8" t="b">
        <v>1</v>
      </c>
      <c r="X8" vm="6">
        <v>45303</v>
      </c>
      <c r="Y8">
        <v>7</v>
      </c>
      <c r="Z8">
        <v>0</v>
      </c>
      <c r="AB8" t="b">
        <v>1</v>
      </c>
      <c r="AC8" t="b">
        <v>1</v>
      </c>
      <c r="AD8" t="b">
        <v>1</v>
      </c>
    </row>
    <row r="9" spans="1:30" x14ac:dyDescent="0.25">
      <c r="A9" t="s">
        <v>12</v>
      </c>
      <c r="B9" s="1">
        <v>45303</v>
      </c>
      <c r="D9" s="1">
        <v>45304</v>
      </c>
      <c r="E9">
        <v>8</v>
      </c>
      <c r="F9">
        <v>0</v>
      </c>
      <c r="H9" s="1">
        <v>45304</v>
      </c>
      <c r="I9">
        <v>8</v>
      </c>
      <c r="J9">
        <v>0</v>
      </c>
      <c r="L9" t="b">
        <v>1</v>
      </c>
      <c r="M9" t="b">
        <v>1</v>
      </c>
      <c r="N9" t="b">
        <v>1</v>
      </c>
      <c r="P9" s="1">
        <v>45304</v>
      </c>
      <c r="Q9">
        <v>8</v>
      </c>
      <c r="R9">
        <v>0</v>
      </c>
      <c r="T9" t="b">
        <v>1</v>
      </c>
      <c r="U9" t="b">
        <v>1</v>
      </c>
      <c r="V9" t="b">
        <v>1</v>
      </c>
      <c r="X9" vm="7">
        <v>45304</v>
      </c>
      <c r="Y9">
        <v>8</v>
      </c>
      <c r="Z9">
        <v>0</v>
      </c>
      <c r="AB9" t="b">
        <v>1</v>
      </c>
      <c r="AC9" t="b">
        <v>1</v>
      </c>
      <c r="AD9" t="b">
        <v>1</v>
      </c>
    </row>
    <row r="10" spans="1:30" x14ac:dyDescent="0.25">
      <c r="A10" t="s">
        <v>8</v>
      </c>
      <c r="B10" s="1">
        <v>45304</v>
      </c>
      <c r="D10" s="1">
        <v>45305</v>
      </c>
      <c r="E10">
        <v>9</v>
      </c>
      <c r="F10">
        <v>0</v>
      </c>
      <c r="H10" s="1">
        <v>45305</v>
      </c>
      <c r="I10">
        <v>9</v>
      </c>
      <c r="J10">
        <v>0</v>
      </c>
      <c r="L10" t="b">
        <v>1</v>
      </c>
      <c r="M10" t="b">
        <v>1</v>
      </c>
      <c r="N10" t="b">
        <v>1</v>
      </c>
      <c r="P10" s="1">
        <v>45305</v>
      </c>
      <c r="Q10">
        <v>9</v>
      </c>
      <c r="R10">
        <v>0</v>
      </c>
      <c r="T10" t="b">
        <v>1</v>
      </c>
      <c r="U10" t="b">
        <v>1</v>
      </c>
      <c r="V10" t="b">
        <v>1</v>
      </c>
      <c r="X10" vm="8">
        <v>45305</v>
      </c>
      <c r="Y10">
        <v>9</v>
      </c>
      <c r="Z10">
        <v>0</v>
      </c>
      <c r="AB10" t="b">
        <v>1</v>
      </c>
      <c r="AC10" t="b">
        <v>1</v>
      </c>
      <c r="AD10" t="b">
        <v>1</v>
      </c>
    </row>
    <row r="11" spans="1:30" x14ac:dyDescent="0.25">
      <c r="A11" t="s">
        <v>13</v>
      </c>
      <c r="B11" s="1">
        <v>45304</v>
      </c>
      <c r="D11" s="1">
        <v>45306</v>
      </c>
      <c r="E11">
        <v>10</v>
      </c>
      <c r="F11">
        <v>0</v>
      </c>
      <c r="H11" s="1">
        <v>45306</v>
      </c>
      <c r="I11">
        <v>10</v>
      </c>
      <c r="J11">
        <v>0</v>
      </c>
      <c r="L11" t="b">
        <v>1</v>
      </c>
      <c r="M11" t="b">
        <v>1</v>
      </c>
      <c r="N11" t="b">
        <v>1</v>
      </c>
      <c r="P11" s="1">
        <v>45306</v>
      </c>
      <c r="Q11">
        <v>10</v>
      </c>
      <c r="R11">
        <v>0</v>
      </c>
      <c r="T11" t="b">
        <v>1</v>
      </c>
      <c r="U11" t="b">
        <v>1</v>
      </c>
      <c r="V11" t="b">
        <v>1</v>
      </c>
      <c r="X11" vm="9">
        <v>45306</v>
      </c>
      <c r="Y11">
        <v>10</v>
      </c>
      <c r="Z11">
        <v>0</v>
      </c>
      <c r="AB11" t="b">
        <v>1</v>
      </c>
      <c r="AC11" t="b">
        <v>1</v>
      </c>
      <c r="AD11" t="b">
        <v>1</v>
      </c>
    </row>
    <row r="12" spans="1:30" x14ac:dyDescent="0.25">
      <c r="A12" t="s">
        <v>14</v>
      </c>
      <c r="B12" s="1">
        <v>45305</v>
      </c>
      <c r="D12" s="1">
        <v>45307</v>
      </c>
      <c r="E12">
        <v>10</v>
      </c>
      <c r="F12">
        <v>0</v>
      </c>
      <c r="H12" s="1">
        <v>45307</v>
      </c>
      <c r="I12">
        <v>10</v>
      </c>
      <c r="J12">
        <v>0</v>
      </c>
      <c r="L12" t="b">
        <v>1</v>
      </c>
      <c r="M12" t="b">
        <v>1</v>
      </c>
      <c r="N12" t="b">
        <v>1</v>
      </c>
      <c r="P12" s="1">
        <v>45307</v>
      </c>
      <c r="Q12">
        <v>10</v>
      </c>
      <c r="R12">
        <v>0</v>
      </c>
      <c r="T12" t="b">
        <v>1</v>
      </c>
      <c r="U12" t="b">
        <v>1</v>
      </c>
      <c r="V12" t="b">
        <v>1</v>
      </c>
      <c r="X12" vm="10">
        <v>45307</v>
      </c>
      <c r="Y12">
        <v>10</v>
      </c>
      <c r="Z12">
        <v>0</v>
      </c>
      <c r="AB12" t="b">
        <v>1</v>
      </c>
      <c r="AC12" t="b">
        <v>1</v>
      </c>
      <c r="AD12" t="b">
        <v>1</v>
      </c>
    </row>
    <row r="13" spans="1:30" x14ac:dyDescent="0.25">
      <c r="A13" t="s">
        <v>15</v>
      </c>
      <c r="B13" s="1">
        <v>45306</v>
      </c>
      <c r="D13" s="1">
        <v>45312</v>
      </c>
      <c r="E13">
        <v>10</v>
      </c>
      <c r="F13">
        <v>0</v>
      </c>
      <c r="H13" s="1">
        <v>45312</v>
      </c>
      <c r="I13">
        <v>10</v>
      </c>
      <c r="J13">
        <v>0</v>
      </c>
      <c r="L13" t="b">
        <v>1</v>
      </c>
      <c r="M13" t="b">
        <v>1</v>
      </c>
      <c r="N13" t="b">
        <v>1</v>
      </c>
      <c r="P13" s="1">
        <v>45312</v>
      </c>
      <c r="Q13">
        <v>10</v>
      </c>
      <c r="R13">
        <v>0</v>
      </c>
      <c r="T13" t="b">
        <v>1</v>
      </c>
      <c r="U13" t="b">
        <v>1</v>
      </c>
      <c r="V13" t="b">
        <v>1</v>
      </c>
      <c r="X13" vm="11">
        <v>45312</v>
      </c>
      <c r="Y13">
        <v>10</v>
      </c>
      <c r="Z13">
        <v>0</v>
      </c>
      <c r="AB13" t="b">
        <v>1</v>
      </c>
      <c r="AC13" t="b">
        <v>1</v>
      </c>
      <c r="AD13" t="b">
        <v>1</v>
      </c>
    </row>
    <row r="14" spans="1:30" x14ac:dyDescent="0.25">
      <c r="A14" t="s">
        <v>7</v>
      </c>
      <c r="B14" s="1">
        <v>45307</v>
      </c>
      <c r="D14" s="1">
        <v>45316</v>
      </c>
      <c r="E14">
        <v>11</v>
      </c>
      <c r="F14">
        <v>0</v>
      </c>
      <c r="H14" s="1">
        <v>45316</v>
      </c>
      <c r="I14">
        <v>11</v>
      </c>
      <c r="J14">
        <v>0</v>
      </c>
      <c r="L14" t="b">
        <v>1</v>
      </c>
      <c r="M14" t="b">
        <v>1</v>
      </c>
      <c r="N14" t="b">
        <v>1</v>
      </c>
      <c r="P14" s="1">
        <v>45316</v>
      </c>
      <c r="Q14">
        <v>11</v>
      </c>
      <c r="R14">
        <v>0</v>
      </c>
      <c r="T14" t="b">
        <v>1</v>
      </c>
      <c r="U14" t="b">
        <v>1</v>
      </c>
      <c r="V14" t="b">
        <v>1</v>
      </c>
      <c r="X14" vm="12">
        <v>45316</v>
      </c>
      <c r="Y14">
        <v>11</v>
      </c>
      <c r="Z14">
        <v>0</v>
      </c>
      <c r="AB14" t="b">
        <v>1</v>
      </c>
      <c r="AC14" t="b">
        <v>1</v>
      </c>
      <c r="AD14" t="b">
        <v>1</v>
      </c>
    </row>
    <row r="15" spans="1:30" x14ac:dyDescent="0.25">
      <c r="A15" t="s">
        <v>9</v>
      </c>
      <c r="B15" s="1">
        <v>45312</v>
      </c>
      <c r="D15" s="1">
        <v>45317</v>
      </c>
      <c r="E15">
        <v>11</v>
      </c>
      <c r="F15">
        <v>1</v>
      </c>
      <c r="H15" s="1">
        <v>45317</v>
      </c>
      <c r="I15">
        <v>11</v>
      </c>
      <c r="J15">
        <v>1</v>
      </c>
      <c r="L15" t="b">
        <v>1</v>
      </c>
      <c r="M15" t="b">
        <v>1</v>
      </c>
      <c r="N15" t="b">
        <v>1</v>
      </c>
      <c r="P15" s="1">
        <v>45317</v>
      </c>
      <c r="Q15">
        <v>11</v>
      </c>
      <c r="R15">
        <v>1</v>
      </c>
      <c r="T15" t="b">
        <v>1</v>
      </c>
      <c r="U15" t="b">
        <v>1</v>
      </c>
      <c r="V15" t="b">
        <v>1</v>
      </c>
      <c r="X15" vm="13">
        <v>45317</v>
      </c>
      <c r="Y15">
        <v>11</v>
      </c>
      <c r="Z15">
        <v>1</v>
      </c>
      <c r="AB15" t="b">
        <v>1</v>
      </c>
      <c r="AC15" t="b">
        <v>1</v>
      </c>
      <c r="AD15" t="b">
        <v>1</v>
      </c>
    </row>
    <row r="16" spans="1:30" x14ac:dyDescent="0.25">
      <c r="A16" t="s">
        <v>16</v>
      </c>
      <c r="B16" s="1">
        <v>45316</v>
      </c>
      <c r="D16" s="1">
        <v>45318</v>
      </c>
      <c r="E16">
        <v>12</v>
      </c>
      <c r="F16">
        <v>1</v>
      </c>
      <c r="H16" s="1">
        <v>45318</v>
      </c>
      <c r="I16">
        <v>12</v>
      </c>
      <c r="J16">
        <v>1</v>
      </c>
      <c r="L16" t="b">
        <v>1</v>
      </c>
      <c r="M16" t="b">
        <v>1</v>
      </c>
      <c r="N16" t="b">
        <v>1</v>
      </c>
      <c r="P16" s="1">
        <v>45318</v>
      </c>
      <c r="Q16">
        <v>12</v>
      </c>
      <c r="R16">
        <v>1</v>
      </c>
      <c r="T16" t="b">
        <v>1</v>
      </c>
      <c r="U16" t="b">
        <v>1</v>
      </c>
      <c r="V16" t="b">
        <v>1</v>
      </c>
      <c r="X16" vm="14">
        <v>45318</v>
      </c>
      <c r="Y16">
        <v>12</v>
      </c>
      <c r="Z16">
        <v>1</v>
      </c>
      <c r="AB16" t="b">
        <v>1</v>
      </c>
      <c r="AC16" t="b">
        <v>1</v>
      </c>
      <c r="AD16" t="b">
        <v>1</v>
      </c>
    </row>
    <row r="17" spans="1:30" x14ac:dyDescent="0.25">
      <c r="A17" t="s">
        <v>7</v>
      </c>
      <c r="B17" s="1">
        <v>45317</v>
      </c>
      <c r="D17" s="1">
        <v>45319</v>
      </c>
      <c r="E17">
        <v>12</v>
      </c>
      <c r="F17">
        <v>1</v>
      </c>
      <c r="H17" s="1">
        <v>45319</v>
      </c>
      <c r="I17">
        <v>12</v>
      </c>
      <c r="J17">
        <v>1</v>
      </c>
      <c r="L17" t="b">
        <v>1</v>
      </c>
      <c r="M17" t="b">
        <v>1</v>
      </c>
      <c r="N17" t="b">
        <v>1</v>
      </c>
      <c r="P17" s="1">
        <v>45319</v>
      </c>
      <c r="Q17">
        <v>12</v>
      </c>
      <c r="R17">
        <v>1</v>
      </c>
      <c r="T17" t="b">
        <v>1</v>
      </c>
      <c r="U17" t="b">
        <v>1</v>
      </c>
      <c r="V17" t="b">
        <v>1</v>
      </c>
      <c r="X17" vm="15">
        <v>45319</v>
      </c>
      <c r="Y17">
        <v>12</v>
      </c>
      <c r="Z17">
        <v>1</v>
      </c>
      <c r="AB17" t="b">
        <v>1</v>
      </c>
      <c r="AC17" t="b">
        <v>1</v>
      </c>
      <c r="AD17" t="b">
        <v>1</v>
      </c>
    </row>
    <row r="18" spans="1:30" x14ac:dyDescent="0.25">
      <c r="A18" t="s">
        <v>17</v>
      </c>
      <c r="B18" s="1">
        <v>45318</v>
      </c>
      <c r="D18" s="1">
        <v>45320</v>
      </c>
      <c r="E18">
        <v>13</v>
      </c>
      <c r="F18">
        <v>2</v>
      </c>
      <c r="H18" s="1">
        <v>45320</v>
      </c>
      <c r="I18">
        <v>13</v>
      </c>
      <c r="J18">
        <v>2</v>
      </c>
      <c r="L18" t="b">
        <v>1</v>
      </c>
      <c r="M18" t="b">
        <v>1</v>
      </c>
      <c r="N18" t="b">
        <v>1</v>
      </c>
      <c r="P18" s="1">
        <v>45320</v>
      </c>
      <c r="Q18">
        <v>13</v>
      </c>
      <c r="R18">
        <v>2</v>
      </c>
      <c r="T18" t="b">
        <v>1</v>
      </c>
      <c r="U18" t="b">
        <v>1</v>
      </c>
      <c r="V18" t="b">
        <v>1</v>
      </c>
      <c r="X18" vm="16">
        <v>45320</v>
      </c>
      <c r="Y18">
        <v>13</v>
      </c>
      <c r="Z18">
        <v>2</v>
      </c>
      <c r="AB18" t="b">
        <v>1</v>
      </c>
      <c r="AC18" t="b">
        <v>1</v>
      </c>
      <c r="AD18" t="b">
        <v>1</v>
      </c>
    </row>
    <row r="19" spans="1:30" x14ac:dyDescent="0.25">
      <c r="A19" t="s">
        <v>14</v>
      </c>
      <c r="B19" s="1">
        <v>45319</v>
      </c>
      <c r="D19" s="1">
        <v>45321</v>
      </c>
      <c r="E19">
        <v>13</v>
      </c>
      <c r="F19">
        <v>2</v>
      </c>
      <c r="H19" s="1">
        <v>45321</v>
      </c>
      <c r="I19">
        <v>13</v>
      </c>
      <c r="J19">
        <v>2</v>
      </c>
      <c r="L19" t="b">
        <v>1</v>
      </c>
      <c r="M19" t="b">
        <v>1</v>
      </c>
      <c r="N19" t="b">
        <v>1</v>
      </c>
      <c r="P19" s="1">
        <v>45321</v>
      </c>
      <c r="Q19">
        <v>13</v>
      </c>
      <c r="R19">
        <v>2</v>
      </c>
      <c r="T19" t="b">
        <v>1</v>
      </c>
      <c r="U19" t="b">
        <v>1</v>
      </c>
      <c r="V19" t="b">
        <v>1</v>
      </c>
      <c r="X19" vm="17">
        <v>45321</v>
      </c>
      <c r="Y19">
        <v>13</v>
      </c>
      <c r="Z19">
        <v>2</v>
      </c>
      <c r="AB19" t="b">
        <v>1</v>
      </c>
      <c r="AC19" t="b">
        <v>1</v>
      </c>
      <c r="AD19" t="b">
        <v>1</v>
      </c>
    </row>
    <row r="20" spans="1:30" x14ac:dyDescent="0.25">
      <c r="A20" t="s">
        <v>18</v>
      </c>
      <c r="B20" s="1">
        <v>45320</v>
      </c>
      <c r="D20" s="1">
        <v>45325</v>
      </c>
      <c r="E20">
        <v>12</v>
      </c>
      <c r="F20">
        <v>1</v>
      </c>
      <c r="H20" s="1">
        <v>45325</v>
      </c>
      <c r="I20">
        <v>12</v>
      </c>
      <c r="J20">
        <v>1</v>
      </c>
      <c r="L20" t="b">
        <v>1</v>
      </c>
      <c r="M20" t="b">
        <v>1</v>
      </c>
      <c r="N20" t="b">
        <v>1</v>
      </c>
      <c r="P20" s="1">
        <v>45325</v>
      </c>
      <c r="Q20">
        <v>12</v>
      </c>
      <c r="R20">
        <v>1</v>
      </c>
      <c r="T20" t="b">
        <v>1</v>
      </c>
      <c r="U20" t="b">
        <v>1</v>
      </c>
      <c r="V20" t="b">
        <v>1</v>
      </c>
      <c r="X20" vm="18">
        <v>45325</v>
      </c>
      <c r="Y20">
        <v>12</v>
      </c>
      <c r="Z20">
        <v>1</v>
      </c>
      <c r="AB20" t="b">
        <v>1</v>
      </c>
      <c r="AC20" t="b">
        <v>1</v>
      </c>
      <c r="AD20" t="b">
        <v>1</v>
      </c>
    </row>
    <row r="21" spans="1:30" x14ac:dyDescent="0.25">
      <c r="A21" t="s">
        <v>8</v>
      </c>
      <c r="B21" s="1">
        <v>45320</v>
      </c>
      <c r="D21" s="1">
        <v>45327</v>
      </c>
      <c r="E21">
        <v>12</v>
      </c>
      <c r="F21">
        <v>2</v>
      </c>
      <c r="H21" s="1">
        <v>45327</v>
      </c>
      <c r="I21">
        <v>12</v>
      </c>
      <c r="J21">
        <v>2</v>
      </c>
      <c r="L21" t="b">
        <v>1</v>
      </c>
      <c r="M21" t="b">
        <v>1</v>
      </c>
      <c r="N21" t="b">
        <v>1</v>
      </c>
      <c r="P21" s="1">
        <v>45327</v>
      </c>
      <c r="Q21">
        <v>12</v>
      </c>
      <c r="R21">
        <v>2</v>
      </c>
      <c r="T21" t="b">
        <v>1</v>
      </c>
      <c r="U21" t="b">
        <v>1</v>
      </c>
      <c r="V21" t="b">
        <v>1</v>
      </c>
      <c r="X21" vm="19">
        <v>45327</v>
      </c>
      <c r="Y21">
        <v>12</v>
      </c>
      <c r="Z21">
        <v>2</v>
      </c>
      <c r="AB21" t="b">
        <v>1</v>
      </c>
      <c r="AC21" t="b">
        <v>1</v>
      </c>
      <c r="AD21" t="b">
        <v>1</v>
      </c>
    </row>
    <row r="22" spans="1:30" x14ac:dyDescent="0.25">
      <c r="A22" t="s">
        <v>18</v>
      </c>
      <c r="B22" s="1">
        <v>45321</v>
      </c>
      <c r="D22" s="1">
        <v>45329</v>
      </c>
      <c r="E22">
        <v>12</v>
      </c>
      <c r="F22">
        <v>2</v>
      </c>
      <c r="H22" s="1">
        <v>45329</v>
      </c>
      <c r="I22">
        <v>12</v>
      </c>
      <c r="J22">
        <v>2</v>
      </c>
      <c r="L22" t="b">
        <v>1</v>
      </c>
      <c r="M22" t="b">
        <v>1</v>
      </c>
      <c r="N22" t="b">
        <v>1</v>
      </c>
      <c r="P22" s="1">
        <v>45329</v>
      </c>
      <c r="Q22">
        <v>12</v>
      </c>
      <c r="R22">
        <v>2</v>
      </c>
      <c r="T22" t="b">
        <v>1</v>
      </c>
      <c r="U22" t="b">
        <v>1</v>
      </c>
      <c r="V22" t="b">
        <v>1</v>
      </c>
      <c r="X22" vm="20">
        <v>45329</v>
      </c>
      <c r="Y22">
        <v>12</v>
      </c>
      <c r="Z22">
        <v>2</v>
      </c>
      <c r="AB22" t="b">
        <v>1</v>
      </c>
      <c r="AC22" t="b">
        <v>1</v>
      </c>
      <c r="AD22" t="b">
        <v>1</v>
      </c>
    </row>
    <row r="23" spans="1:30" x14ac:dyDescent="0.25">
      <c r="A23" t="s">
        <v>11</v>
      </c>
      <c r="B23" s="1">
        <v>45321</v>
      </c>
      <c r="D23" s="1">
        <v>45335</v>
      </c>
      <c r="E23">
        <v>10</v>
      </c>
      <c r="F23">
        <v>1</v>
      </c>
      <c r="H23" s="1">
        <v>45335</v>
      </c>
      <c r="I23">
        <v>10</v>
      </c>
      <c r="J23">
        <v>1</v>
      </c>
      <c r="L23" t="b">
        <v>1</v>
      </c>
      <c r="M23" t="b">
        <v>1</v>
      </c>
      <c r="N23" t="b">
        <v>1</v>
      </c>
      <c r="P23" s="1">
        <v>45335</v>
      </c>
      <c r="Q23">
        <v>10</v>
      </c>
      <c r="R23">
        <v>1</v>
      </c>
      <c r="T23" t="b">
        <v>1</v>
      </c>
      <c r="U23" t="b">
        <v>1</v>
      </c>
      <c r="V23" t="b">
        <v>1</v>
      </c>
      <c r="X23" vm="21">
        <v>45335</v>
      </c>
      <c r="Y23">
        <v>10</v>
      </c>
      <c r="Z23">
        <v>1</v>
      </c>
      <c r="AB23" t="b">
        <v>1</v>
      </c>
      <c r="AC23" t="b">
        <v>1</v>
      </c>
      <c r="AD23" t="b">
        <v>1</v>
      </c>
    </row>
    <row r="24" spans="1:30" x14ac:dyDescent="0.25">
      <c r="A24" t="s">
        <v>12</v>
      </c>
      <c r="B24" s="1">
        <v>45321</v>
      </c>
      <c r="D24" s="1">
        <v>45336</v>
      </c>
      <c r="E24">
        <v>9</v>
      </c>
      <c r="F24">
        <v>2</v>
      </c>
      <c r="H24" s="1">
        <v>45336</v>
      </c>
      <c r="I24">
        <v>9</v>
      </c>
      <c r="J24">
        <v>2</v>
      </c>
      <c r="L24" t="b">
        <v>1</v>
      </c>
      <c r="M24" t="b">
        <v>1</v>
      </c>
      <c r="N24" t="b">
        <v>1</v>
      </c>
      <c r="P24" s="1">
        <v>45336</v>
      </c>
      <c r="Q24">
        <v>9</v>
      </c>
      <c r="R24">
        <v>2</v>
      </c>
      <c r="T24" t="b">
        <v>1</v>
      </c>
      <c r="U24" t="b">
        <v>1</v>
      </c>
      <c r="V24" t="b">
        <v>1</v>
      </c>
      <c r="X24" vm="22">
        <v>45336</v>
      </c>
      <c r="Y24">
        <v>9</v>
      </c>
      <c r="Z24">
        <v>2</v>
      </c>
      <c r="AB24" t="b">
        <v>1</v>
      </c>
      <c r="AC24" t="b">
        <v>1</v>
      </c>
      <c r="AD24" t="b">
        <v>1</v>
      </c>
    </row>
    <row r="25" spans="1:30" x14ac:dyDescent="0.25">
      <c r="A25" t="s">
        <v>16</v>
      </c>
      <c r="B25" s="1">
        <v>45325</v>
      </c>
      <c r="D25" s="1">
        <v>45338</v>
      </c>
      <c r="E25">
        <v>11</v>
      </c>
      <c r="F25">
        <v>2</v>
      </c>
      <c r="H25" s="1">
        <v>45338</v>
      </c>
      <c r="I25">
        <v>11</v>
      </c>
      <c r="J25">
        <v>2</v>
      </c>
      <c r="L25" t="b">
        <v>1</v>
      </c>
      <c r="M25" t="b">
        <v>1</v>
      </c>
      <c r="N25" t="b">
        <v>1</v>
      </c>
      <c r="P25" s="1">
        <v>45338</v>
      </c>
      <c r="Q25">
        <v>11</v>
      </c>
      <c r="R25">
        <v>2</v>
      </c>
      <c r="T25" t="b">
        <v>1</v>
      </c>
      <c r="U25" t="b">
        <v>1</v>
      </c>
      <c r="V25" t="b">
        <v>1</v>
      </c>
      <c r="X25" vm="23">
        <v>45338</v>
      </c>
      <c r="Y25">
        <v>11</v>
      </c>
      <c r="Z25">
        <v>2</v>
      </c>
      <c r="AB25" t="b">
        <v>1</v>
      </c>
      <c r="AC25" t="b">
        <v>1</v>
      </c>
      <c r="AD25" t="b">
        <v>1</v>
      </c>
    </row>
    <row r="26" spans="1:30" x14ac:dyDescent="0.25">
      <c r="A26" t="s">
        <v>11</v>
      </c>
      <c r="B26" s="1">
        <v>45327</v>
      </c>
      <c r="D26" s="1">
        <v>45339</v>
      </c>
      <c r="E26">
        <v>11</v>
      </c>
      <c r="F26">
        <v>2</v>
      </c>
      <c r="H26" s="1">
        <v>45339</v>
      </c>
      <c r="I26">
        <v>11</v>
      </c>
      <c r="J26">
        <v>2</v>
      </c>
      <c r="L26" t="b">
        <v>1</v>
      </c>
      <c r="M26" t="b">
        <v>1</v>
      </c>
      <c r="N26" t="b">
        <v>1</v>
      </c>
      <c r="P26" s="1">
        <v>45339</v>
      </c>
      <c r="Q26">
        <v>11</v>
      </c>
      <c r="R26">
        <v>2</v>
      </c>
      <c r="T26" t="b">
        <v>1</v>
      </c>
      <c r="U26" t="b">
        <v>1</v>
      </c>
      <c r="V26" t="b">
        <v>1</v>
      </c>
      <c r="X26" vm="24">
        <v>45339</v>
      </c>
      <c r="Y26">
        <v>11</v>
      </c>
      <c r="Z26">
        <v>2</v>
      </c>
      <c r="AB26" t="b">
        <v>1</v>
      </c>
      <c r="AC26" t="b">
        <v>1</v>
      </c>
      <c r="AD26" t="b">
        <v>1</v>
      </c>
    </row>
    <row r="27" spans="1:30" x14ac:dyDescent="0.25">
      <c r="A27" t="s">
        <v>17</v>
      </c>
      <c r="B27" s="1">
        <v>45327</v>
      </c>
      <c r="D27" s="1">
        <v>45340</v>
      </c>
      <c r="E27">
        <v>12</v>
      </c>
      <c r="F27">
        <v>2</v>
      </c>
      <c r="H27" s="1">
        <v>45340</v>
      </c>
      <c r="I27">
        <v>12</v>
      </c>
      <c r="J27">
        <v>2</v>
      </c>
      <c r="L27" t="b">
        <v>1</v>
      </c>
      <c r="M27" t="b">
        <v>1</v>
      </c>
      <c r="N27" t="b">
        <v>1</v>
      </c>
      <c r="P27" s="1">
        <v>45340</v>
      </c>
      <c r="Q27">
        <v>12</v>
      </c>
      <c r="R27">
        <v>2</v>
      </c>
      <c r="T27" t="b">
        <v>1</v>
      </c>
      <c r="U27" t="b">
        <v>1</v>
      </c>
      <c r="V27" t="b">
        <v>1</v>
      </c>
      <c r="X27" vm="25">
        <v>45340</v>
      </c>
      <c r="Y27">
        <v>12</v>
      </c>
      <c r="Z27">
        <v>2</v>
      </c>
      <c r="AB27" t="b">
        <v>1</v>
      </c>
      <c r="AC27" t="b">
        <v>1</v>
      </c>
      <c r="AD27" t="b">
        <v>1</v>
      </c>
    </row>
    <row r="28" spans="1:30" x14ac:dyDescent="0.25">
      <c r="A28" t="s">
        <v>8</v>
      </c>
      <c r="B28" s="1">
        <v>45327</v>
      </c>
      <c r="D28" s="1">
        <v>45346</v>
      </c>
      <c r="E28">
        <v>13</v>
      </c>
      <c r="F28">
        <v>1</v>
      </c>
      <c r="H28" s="1">
        <v>45346</v>
      </c>
      <c r="I28">
        <v>13</v>
      </c>
      <c r="J28">
        <v>1</v>
      </c>
      <c r="L28" t="b">
        <v>1</v>
      </c>
      <c r="M28" t="b">
        <v>1</v>
      </c>
      <c r="N28" t="b">
        <v>1</v>
      </c>
      <c r="P28" s="1">
        <v>45346</v>
      </c>
      <c r="Q28">
        <v>13</v>
      </c>
      <c r="R28">
        <v>1</v>
      </c>
      <c r="T28" t="b">
        <v>1</v>
      </c>
      <c r="U28" t="b">
        <v>1</v>
      </c>
      <c r="V28" t="b">
        <v>1</v>
      </c>
      <c r="X28" vm="26">
        <v>45346</v>
      </c>
      <c r="Y28">
        <v>13</v>
      </c>
      <c r="Z28">
        <v>1</v>
      </c>
      <c r="AB28" t="b">
        <v>1</v>
      </c>
      <c r="AC28" t="b">
        <v>1</v>
      </c>
      <c r="AD28" t="b">
        <v>1</v>
      </c>
    </row>
    <row r="29" spans="1:30" x14ac:dyDescent="0.25">
      <c r="A29" t="s">
        <v>9</v>
      </c>
      <c r="B29" s="1">
        <v>45329</v>
      </c>
      <c r="D29" s="1">
        <v>45350</v>
      </c>
      <c r="E29">
        <v>12</v>
      </c>
      <c r="F29">
        <v>0</v>
      </c>
      <c r="H29" s="1">
        <v>45350</v>
      </c>
      <c r="I29">
        <v>12</v>
      </c>
      <c r="J29">
        <v>0</v>
      </c>
      <c r="L29" t="b">
        <v>1</v>
      </c>
      <c r="M29" t="b">
        <v>1</v>
      </c>
      <c r="N29" t="b">
        <v>1</v>
      </c>
      <c r="P29" s="1">
        <v>45350</v>
      </c>
      <c r="Q29">
        <v>12</v>
      </c>
      <c r="R29">
        <v>0</v>
      </c>
      <c r="T29" t="b">
        <v>1</v>
      </c>
      <c r="U29" t="b">
        <v>1</v>
      </c>
      <c r="V29" t="b">
        <v>1</v>
      </c>
      <c r="X29" vm="27">
        <v>45350</v>
      </c>
      <c r="Y29">
        <v>12</v>
      </c>
      <c r="Z29">
        <v>0</v>
      </c>
      <c r="AB29" t="b">
        <v>1</v>
      </c>
      <c r="AC29" t="b">
        <v>1</v>
      </c>
      <c r="AD29" t="b">
        <v>1</v>
      </c>
    </row>
    <row r="30" spans="1:30" x14ac:dyDescent="0.25">
      <c r="A30" t="s">
        <v>9</v>
      </c>
      <c r="B30" s="1">
        <v>45335</v>
      </c>
      <c r="D30" s="1">
        <v>45361</v>
      </c>
      <c r="E30">
        <v>8</v>
      </c>
      <c r="F30">
        <v>1</v>
      </c>
      <c r="H30" s="1">
        <v>45361</v>
      </c>
      <c r="I30">
        <v>8</v>
      </c>
      <c r="J30">
        <v>1</v>
      </c>
      <c r="L30" t="b">
        <v>1</v>
      </c>
      <c r="M30" t="b">
        <v>1</v>
      </c>
      <c r="N30" t="b">
        <v>1</v>
      </c>
      <c r="P30" s="1">
        <v>45361</v>
      </c>
      <c r="Q30">
        <v>8</v>
      </c>
      <c r="R30">
        <v>1</v>
      </c>
      <c r="T30" t="b">
        <v>1</v>
      </c>
      <c r="U30" t="b">
        <v>1</v>
      </c>
      <c r="V30" t="b">
        <v>1</v>
      </c>
      <c r="X30" vm="28">
        <v>45361</v>
      </c>
      <c r="Y30">
        <v>8</v>
      </c>
      <c r="Z30">
        <v>1</v>
      </c>
      <c r="AB30" t="b">
        <v>1</v>
      </c>
      <c r="AC30" t="b">
        <v>1</v>
      </c>
      <c r="AD30" t="b">
        <v>1</v>
      </c>
    </row>
    <row r="31" spans="1:30" x14ac:dyDescent="0.25">
      <c r="A31" t="s">
        <v>17</v>
      </c>
      <c r="B31" s="1">
        <v>45336</v>
      </c>
      <c r="D31" s="1">
        <v>45362</v>
      </c>
      <c r="E31">
        <v>9</v>
      </c>
      <c r="F31">
        <v>1</v>
      </c>
      <c r="H31" s="1">
        <v>45362</v>
      </c>
      <c r="I31">
        <v>9</v>
      </c>
      <c r="J31">
        <v>1</v>
      </c>
      <c r="L31" t="b">
        <v>1</v>
      </c>
      <c r="M31" t="b">
        <v>1</v>
      </c>
      <c r="N31" t="b">
        <v>1</v>
      </c>
      <c r="P31" s="1">
        <v>45362</v>
      </c>
      <c r="Q31">
        <v>9</v>
      </c>
      <c r="R31">
        <v>1</v>
      </c>
      <c r="T31" t="b">
        <v>1</v>
      </c>
      <c r="U31" t="b">
        <v>1</v>
      </c>
      <c r="V31" t="b">
        <v>1</v>
      </c>
      <c r="X31" vm="29">
        <v>45362</v>
      </c>
      <c r="Y31">
        <v>9</v>
      </c>
      <c r="Z31">
        <v>1</v>
      </c>
      <c r="AB31" t="b">
        <v>1</v>
      </c>
      <c r="AC31" t="b">
        <v>1</v>
      </c>
      <c r="AD31" t="b">
        <v>1</v>
      </c>
    </row>
    <row r="32" spans="1:30" x14ac:dyDescent="0.25">
      <c r="A32" t="s">
        <v>6</v>
      </c>
      <c r="B32" s="1">
        <v>45338</v>
      </c>
      <c r="D32" s="1">
        <v>45367</v>
      </c>
      <c r="E32">
        <v>7</v>
      </c>
      <c r="F32">
        <v>1</v>
      </c>
      <c r="H32" s="1">
        <v>45367</v>
      </c>
      <c r="I32">
        <v>7</v>
      </c>
      <c r="J32">
        <v>1</v>
      </c>
      <c r="L32" t="b">
        <v>1</v>
      </c>
      <c r="M32" t="b">
        <v>1</v>
      </c>
      <c r="N32" t="b">
        <v>1</v>
      </c>
      <c r="P32" s="1">
        <v>45367</v>
      </c>
      <c r="Q32">
        <v>7</v>
      </c>
      <c r="R32">
        <v>1</v>
      </c>
      <c r="T32" t="b">
        <v>1</v>
      </c>
      <c r="U32" t="b">
        <v>1</v>
      </c>
      <c r="V32" t="b">
        <v>1</v>
      </c>
      <c r="X32" vm="30">
        <v>45367</v>
      </c>
      <c r="Y32">
        <v>7</v>
      </c>
      <c r="Z32">
        <v>1</v>
      </c>
      <c r="AB32" t="b">
        <v>1</v>
      </c>
      <c r="AC32" t="b">
        <v>1</v>
      </c>
      <c r="AD32" t="b">
        <v>1</v>
      </c>
    </row>
    <row r="33" spans="1:2" x14ac:dyDescent="0.25">
      <c r="A33" t="s">
        <v>19</v>
      </c>
      <c r="B33" s="1">
        <v>45338</v>
      </c>
    </row>
    <row r="34" spans="1:2" x14ac:dyDescent="0.25">
      <c r="A34" t="s">
        <v>14</v>
      </c>
      <c r="B34" s="1">
        <v>45339</v>
      </c>
    </row>
    <row r="35" spans="1:2" x14ac:dyDescent="0.25">
      <c r="A35" t="s">
        <v>20</v>
      </c>
      <c r="B35" s="1">
        <v>45340</v>
      </c>
    </row>
    <row r="36" spans="1:2" x14ac:dyDescent="0.25">
      <c r="A36" t="s">
        <v>10</v>
      </c>
      <c r="B36" s="1">
        <v>45346</v>
      </c>
    </row>
    <row r="37" spans="1:2" x14ac:dyDescent="0.25">
      <c r="A37" t="s">
        <v>10</v>
      </c>
      <c r="B37" s="1">
        <v>45350</v>
      </c>
    </row>
    <row r="38" spans="1:2" x14ac:dyDescent="0.25">
      <c r="A38" t="s">
        <v>15</v>
      </c>
      <c r="B38" s="1">
        <v>45361</v>
      </c>
    </row>
    <row r="39" spans="1:2" x14ac:dyDescent="0.25">
      <c r="A39" t="s">
        <v>10</v>
      </c>
      <c r="B39" s="1">
        <v>45361</v>
      </c>
    </row>
    <row r="40" spans="1:2" x14ac:dyDescent="0.25">
      <c r="A40" t="s">
        <v>12</v>
      </c>
      <c r="B40" s="1">
        <v>45362</v>
      </c>
    </row>
    <row r="41" spans="1:2" x14ac:dyDescent="0.25">
      <c r="A41" t="s">
        <v>12</v>
      </c>
      <c r="B41" s="1">
        <v>45367</v>
      </c>
    </row>
    <row r="42" spans="1:2" x14ac:dyDescent="0.25">
      <c r="A42" t="s">
        <v>19</v>
      </c>
      <c r="B42" s="1">
        <v>45367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632D6C-C229-4A4A-ACAB-D8C47B60D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963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2026-04-25T13:34:18Z</dcterms:modified>
  <cp:category/>
  <cp:contentStatus/>
</cp:coreProperties>
</file>