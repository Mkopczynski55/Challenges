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healthineers-my.sharepoint.com/personal/maciej_kopczynski_ext_siemens-healthineers_com/Documents/Desktop/Daily Challenges/"/>
    </mc:Choice>
  </mc:AlternateContent>
  <xr:revisionPtr revIDLastSave="156" documentId="8_{053CA970-24B7-49E9-8034-A213852BE01A}" xr6:coauthVersionLast="47" xr6:coauthVersionMax="47" xr10:uidLastSave="{0AB80B19-D366-4068-A882-3C4C8900FEBC}"/>
  <bookViews>
    <workbookView xWindow="38280" yWindow="0" windowWidth="38640" windowHeight="21120" xr2:uid="{00000000-000D-0000-FFFF-FFFF00000000}"/>
  </bookViews>
  <sheets>
    <sheet name="921" sheetId="1" r:id="rId1"/>
  </sheets>
  <definedNames>
    <definedName name="_excelSolution_">_xlfn.ANCHORARRAY('921'!$J$2)</definedName>
    <definedName name="_solution_">'921'!$E$10:$G$13</definedName>
    <definedName name="ExternalData_1" localSheetId="0" hidden="1">'921'!$N$2:$P$5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 a="1"/>
  <c r="R10" i="1" s="1"/>
  <c r="R2" i="1" a="1"/>
  <c r="R2" i="1" s="1"/>
  <c r="N10" i="1" a="1"/>
  <c r="N10" i="1" s="1"/>
  <c r="J2" i="1" a="1"/>
  <c r="J2" i="1" l="1"/>
  <c r="J10" i="1" a="1"/>
  <c r="J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9958CB-7AF1-4DDE-9830-74FA18BA26E5}" keepAlive="1" name="Zapytanie — tblMarks" description="Połączenie z zapytaniem „tblMarks” w skoroszycie." type="5" refreshedVersion="0" background="1">
    <dbPr connection="Provider=Microsoft.Mashup.OleDb.1;Data Source=$Workbook$;Location=tblMarks;Extended Properties=&quot;&quot;" command="SELECT * FROM [tblMarks]"/>
  </connection>
  <connection id="2" xr16:uid="{9E0521E3-D532-4310-94A0-D3B12D85C81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df_students = xl(%P2%, headers = True)
df_marks = xl(%P3%, headers = True)
df_students["Passed"] = df_students.apply(
    lambda x: "Pass Subjects" if df_marks[df_marks["Subject"] == x["Subject"]]["Passing Marks"].iloc[0] &lt;= x["Marks"] else "Fail Subjects", axis=1)
order = df_students["Student"].unique()
df_students["Student"] = pd.Categorical(df_students["Student"], categories = order, ordered = True)
df_students_pivot = df_students.pivot_table(
    values = "Subject",
    index = "Student",
    columns = "Passed",
    aggfunc = lambda x: ", ".join(x),
    fill_value = ""
    )
df_students_pivot = df_students_pivot.reset_index()
new_names = list(df_students_pivot.columns)
new_names[0] = "Student"
df_students_pivot.columns = new_names
df_students_pivot = df_students_pivot[["Student", "Pass Subjects", "Fail Subjects"]]
df_students_pivot</code>
    </pythonScript>
  </pythonScripts>
</python>
</file>

<file path=xl/sharedStrings.xml><?xml version="1.0" encoding="utf-8"?>
<sst xmlns="http://schemas.openxmlformats.org/spreadsheetml/2006/main" count="70" uniqueCount="27">
  <si>
    <t>Student</t>
  </si>
  <si>
    <t>Subject</t>
  </si>
  <si>
    <t>Marks</t>
  </si>
  <si>
    <t>Passing Marks</t>
  </si>
  <si>
    <t>Mike</t>
  </si>
  <si>
    <t>A</t>
  </si>
  <si>
    <t>B</t>
  </si>
  <si>
    <t>C</t>
  </si>
  <si>
    <t>D</t>
  </si>
  <si>
    <t>E</t>
  </si>
  <si>
    <t>Anne</t>
  </si>
  <si>
    <t>Answer Expected</t>
  </si>
  <si>
    <t>Pass Subjects</t>
  </si>
  <si>
    <t>Fail Subjects</t>
  </si>
  <si>
    <t>A, C, D</t>
  </si>
  <si>
    <t>B, E</t>
  </si>
  <si>
    <t>Jug</t>
  </si>
  <si>
    <t>D, E</t>
  </si>
  <si>
    <t>A, B, C</t>
  </si>
  <si>
    <t>A, B, C, D, E</t>
  </si>
  <si>
    <t>Excel Solution</t>
  </si>
  <si>
    <t>Power Query Solution</t>
  </si>
  <si>
    <t>Python Solution</t>
  </si>
  <si>
    <t>Excel Check</t>
  </si>
  <si>
    <t>Power Query Check</t>
  </si>
  <si>
    <t>Python Check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</si>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</sst>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wrapText="1"/>
    </xf>
    <xf numFmtId="0" fontId="1" fillId="4" borderId="0" xfId="0" applyFont="1" applyFill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2" xr16:uid="{D92C958E-875A-4764-9FFF-E60F6040FC79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Pass Subjects" tableColumnId="2"/>
      <queryTableField id="3" name="Fail Subjects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E4FEB-E5F1-402B-B22A-4CA3C8217B11}" name="tblStart" displayName="tblStart" ref="A1:C16" totalsRowShown="0" headerRowDxfId="4">
  <autoFilter ref="A1:C16" xr:uid="{322E4FEB-E5F1-402B-B22A-4CA3C8217B11}"/>
  <tableColumns count="3">
    <tableColumn id="1" xr3:uid="{638A81AB-6104-4D05-90FA-104F55C83E0A}" name="Student"/>
    <tableColumn id="2" xr3:uid="{244440FE-506A-4BD4-B515-B5497E37DF10}" name="Subject"/>
    <tableColumn id="3" xr3:uid="{A53D59CD-17DF-44CB-BA04-DA4C691C0264}" name="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8357D-8A54-4A18-9BDC-B6B7D76E4CBF}" name="tblMarks" displayName="tblMarks" ref="E1:F6" totalsRowShown="0" headerRowDxfId="3">
  <autoFilter ref="E1:F6" xr:uid="{1FD8357D-8A54-4A18-9BDC-B6B7D76E4CBF}"/>
  <tableColumns count="2">
    <tableColumn id="1" xr3:uid="{CD5DE0F8-299D-453E-9231-9764E86772EA}" name="Subject"/>
    <tableColumn id="2" xr3:uid="{36BEE771-4788-4D49-AFD2-24E98670A462}" name="Passing 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55E53-58BF-419A-9094-F34152D010F2}" name="tblSolution" displayName="tblSolution" ref="N2:P5" tableType="queryTable" totalsRowShown="0" tableBorderDxfId="2">
  <autoFilter ref="N2:P5" xr:uid="{93355E53-58BF-419A-9094-F34152D010F2}"/>
  <tableColumns count="3">
    <tableColumn id="1" xr3:uid="{E7C92762-850B-48A0-BE4E-D0A2366B58EA}" uniqueName="1" name="Student" queryTableFieldId="1"/>
    <tableColumn id="2" xr3:uid="{2DC6C0C5-9C89-4D1C-8E5F-FF225BD124F8}" uniqueName="2" name="Pass Subjects" queryTableFieldId="2" dataDxfId="1"/>
    <tableColumn id="3" xr3:uid="{0460A9B7-789E-4A7E-A10B-1FDB39370A72}" uniqueName="3" name="Fail Subjec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T16"/>
  <sheetViews>
    <sheetView tabSelected="1" topLeftCell="B1" workbookViewId="0">
      <selection activeCell="G19" sqref="G19"/>
    </sheetView>
  </sheetViews>
  <sheetFormatPr defaultRowHeight="15" x14ac:dyDescent="0.25"/>
  <cols>
    <col min="1" max="1" width="10.140625" customWidth="1"/>
    <col min="2" max="2" width="9.7109375" customWidth="1"/>
    <col min="3" max="3" width="8.5703125" customWidth="1"/>
    <col min="4" max="4" width="3.5703125" customWidth="1"/>
    <col min="5" max="5" width="9.7109375" customWidth="1"/>
    <col min="6" max="6" width="15.5703125" customWidth="1"/>
    <col min="7" max="7" width="11.140625" bestFit="1" customWidth="1"/>
    <col min="10" max="12" width="21" customWidth="1"/>
    <col min="14" max="16" width="21" customWidth="1"/>
    <col min="18" max="20" width="21" customWidth="1"/>
  </cols>
  <sheetData>
    <row r="1" spans="1:20" s="1" customFormat="1" x14ac:dyDescent="0.25">
      <c r="A1" s="4" t="s">
        <v>0</v>
      </c>
      <c r="B1" s="4" t="s">
        <v>1</v>
      </c>
      <c r="C1" s="4" t="s">
        <v>2</v>
      </c>
      <c r="E1" s="4" t="s">
        <v>1</v>
      </c>
      <c r="F1" s="4" t="s">
        <v>3</v>
      </c>
      <c r="J1" s="5" t="s">
        <v>20</v>
      </c>
      <c r="K1" s="6"/>
      <c r="L1" s="6"/>
      <c r="N1" s="8" t="s">
        <v>21</v>
      </c>
      <c r="O1" s="8"/>
      <c r="P1" s="8"/>
      <c r="R1" s="6" t="s">
        <v>22</v>
      </c>
      <c r="S1" s="6"/>
      <c r="T1" s="6"/>
    </row>
    <row r="2" spans="1:20" x14ac:dyDescent="0.25">
      <c r="A2" t="s">
        <v>4</v>
      </c>
      <c r="B2" t="s">
        <v>5</v>
      </c>
      <c r="C2">
        <v>80</v>
      </c>
      <c r="E2" t="s">
        <v>5</v>
      </c>
      <c r="F2">
        <v>60</v>
      </c>
      <c r="J2" s="7" t="str" cm="1">
        <f t="array" ref="J2:L5">_xlfn.LET(
_xlpm._dataStuds_, tblStart[],
_xlpm._dataMarks_, tblMarks[],
_xlpm._studs_, _xlfn.CHOOSECOLS(_xlpm._dataStuds_, 1),
_xlpm._studsUnq_, _xlfn.UNIQUE(_xlpm._studs_),
_xlpm._mapStuds_, _xlfn.MAP(_xlpm._studsUnq_, _xlfn.LAMBDA(_xlpm.std, _xlfn.LET(_xlpm._filtered_, _xlfn._xlws.FILTER(_xlpm._dataStuds_, _xlpm._studs_ = _xlpm.std), _xlpm._filteredSubjects_, _xlfn.CHOOSECOLS(_xlpm._filtered_, 2), _xlpm._filteredMarks_, _xlfn.CHOOSECOLS(_xlpm._filtered_, 3), _xlpm._innerMapPassed_, _xlfn.MAP(_xlpm._filteredSubjects_, _xlpm._filteredMarks_, _xlfn.LAMBDA(_xlpm.fs,_xlpm.fm, IF(_xlfn.XLOOKUP(_xlpm.fs, _xlfn.CHOOSECOLS(_xlpm._dataMarks_, 1), _xlfn.CHOOSECOLS(_xlpm._dataMarks_, 2),, 0, 1) &lt;= _xlpm.fm, _xlpm.fs,""))), _xlpm._passedStr_, _xlfn.TEXTJOIN(", ", 1, _xlpm._innerMapPassed_), _xlpm._innerMapFailed_, _xlfn.MAP(_xlpm._filteredSubjects_, _xlpm._filteredMarks_, _xlfn.LAMBDA(_xlpm.fs,_xlpm.fm, IF(_xlfn.XLOOKUP(_xlpm.fs, _xlfn.CHOOSECOLS(_xlpm._dataMarks_, 1), _xlfn.CHOOSECOLS(_xlpm._dataMarks_, 2),, 0, 1) &gt; _xlpm.fm, _xlpm.fs,""))), _xlpm._failedStr_, _xlfn.TEXTJOIN(", ", 1, _xlpm._innerMapFailed_), _xlpm._innerRes_, _xlfn.TEXTJOIN(";",1,_xlpm.std,_xlfn._xlws.SORT(_xlpm._passedStr_), _xlfn._xlws.SORT(_xlpm._failedStr_)), _xlpm._innerRes_))),
_xlpm._combineRows_, _xlfn.TEXTJOIN("|", 1, _xlpm._mapStuds_),
_xlpm._splitRows_, _xlfn.TEXTSPLIT(_xlpm._combineRows_, ";", "|", 1,,""),
_xlpm._headers_, {"Student","Pass Subjects","Fail Subjects"},
_xlpm._solution_, _xlfn.VSTACK(_xlpm._headers_, _xlpm._splitRows_),
_xlpm._solution_)</f>
        <v>Student</v>
      </c>
      <c r="K2" t="str">
        <v>Pass Subjects</v>
      </c>
      <c r="L2" t="str">
        <v>Fail Subjects</v>
      </c>
      <c r="N2" t="s">
        <v>0</v>
      </c>
      <c r="O2" t="s">
        <v>12</v>
      </c>
      <c r="P2" t="s">
        <v>13</v>
      </c>
      <c r="R2" t="str" cm="1">
        <f t="array" ref="R2:T5">_xlfn._xlws.PY(0,0,A1:C16,E1:F6)</f>
        <v>Student</v>
      </c>
      <c r="S2" t="str">
        <v>Pass Subjects</v>
      </c>
      <c r="T2" t="str">
        <v>Fail Subjects</v>
      </c>
    </row>
    <row r="3" spans="1:20" x14ac:dyDescent="0.25">
      <c r="A3" t="s">
        <v>4</v>
      </c>
      <c r="B3" t="s">
        <v>6</v>
      </c>
      <c r="C3">
        <v>30</v>
      </c>
      <c r="E3" t="s">
        <v>6</v>
      </c>
      <c r="F3">
        <v>50</v>
      </c>
      <c r="J3" t="str">
        <v>Mike</v>
      </c>
      <c r="K3" t="str">
        <v>A, C, D</v>
      </c>
      <c r="L3" t="str">
        <v>B, E</v>
      </c>
      <c r="N3" t="s">
        <v>4</v>
      </c>
      <c r="O3" t="s">
        <v>14</v>
      </c>
      <c r="P3" t="s">
        <v>15</v>
      </c>
      <c r="R3" t="str">
        <v>Mike</v>
      </c>
      <c r="S3" t="str">
        <v>A, C, D</v>
      </c>
      <c r="T3" t="str">
        <v>B, E</v>
      </c>
    </row>
    <row r="4" spans="1:20" x14ac:dyDescent="0.25">
      <c r="A4" t="s">
        <v>4</v>
      </c>
      <c r="B4" t="s">
        <v>7</v>
      </c>
      <c r="C4">
        <v>80</v>
      </c>
      <c r="E4" t="s">
        <v>7</v>
      </c>
      <c r="F4">
        <v>60</v>
      </c>
      <c r="J4" t="str">
        <v>Anne</v>
      </c>
      <c r="K4" t="str">
        <v>D, E</v>
      </c>
      <c r="L4" t="str">
        <v>A, B, C</v>
      </c>
      <c r="N4" t="s">
        <v>10</v>
      </c>
      <c r="O4" t="s">
        <v>17</v>
      </c>
      <c r="P4" t="s">
        <v>18</v>
      </c>
      <c r="R4" t="str">
        <v>Anne</v>
      </c>
      <c r="S4" t="str">
        <v>D, E</v>
      </c>
      <c r="T4" t="str">
        <v>A, B, C</v>
      </c>
    </row>
    <row r="5" spans="1:20" x14ac:dyDescent="0.25">
      <c r="A5" t="s">
        <v>4</v>
      </c>
      <c r="B5" t="s">
        <v>8</v>
      </c>
      <c r="C5">
        <v>78</v>
      </c>
      <c r="E5" t="s">
        <v>8</v>
      </c>
      <c r="F5">
        <v>50</v>
      </c>
      <c r="J5" t="str">
        <v>Jug</v>
      </c>
      <c r="K5" t="str">
        <v>A, B, C, D, E</v>
      </c>
      <c r="L5" t="str">
        <v/>
      </c>
      <c r="N5" t="s">
        <v>16</v>
      </c>
      <c r="O5" t="s">
        <v>19</v>
      </c>
      <c r="P5" t="s">
        <v>26</v>
      </c>
      <c r="R5" t="str">
        <v>Jug</v>
      </c>
      <c r="S5" t="str">
        <v>A, B, C, D, E</v>
      </c>
      <c r="T5" t="str">
        <v/>
      </c>
    </row>
    <row r="6" spans="1:20" x14ac:dyDescent="0.25">
      <c r="A6" t="s">
        <v>4</v>
      </c>
      <c r="B6" t="s">
        <v>9</v>
      </c>
      <c r="C6">
        <v>20</v>
      </c>
      <c r="E6" t="s">
        <v>9</v>
      </c>
      <c r="F6">
        <v>40</v>
      </c>
    </row>
    <row r="7" spans="1:20" x14ac:dyDescent="0.25">
      <c r="A7" t="s">
        <v>10</v>
      </c>
      <c r="B7" t="s">
        <v>5</v>
      </c>
      <c r="C7">
        <v>50</v>
      </c>
    </row>
    <row r="8" spans="1:20" x14ac:dyDescent="0.25">
      <c r="A8" t="s">
        <v>10</v>
      </c>
      <c r="B8" t="s">
        <v>6</v>
      </c>
      <c r="C8">
        <v>49</v>
      </c>
    </row>
    <row r="9" spans="1:20" x14ac:dyDescent="0.25">
      <c r="A9" t="s">
        <v>10</v>
      </c>
      <c r="B9" t="s">
        <v>7</v>
      </c>
      <c r="C9">
        <v>50</v>
      </c>
      <c r="E9" s="2" t="s">
        <v>11</v>
      </c>
      <c r="F9" s="2"/>
      <c r="G9" s="2"/>
      <c r="J9" s="5" t="s">
        <v>23</v>
      </c>
      <c r="K9" s="6"/>
      <c r="L9" s="6"/>
      <c r="M9" s="1"/>
      <c r="N9" s="6" t="s">
        <v>24</v>
      </c>
      <c r="O9" s="6"/>
      <c r="P9" s="6"/>
      <c r="Q9" s="1"/>
      <c r="R9" s="6" t="s">
        <v>25</v>
      </c>
      <c r="S9" s="6"/>
      <c r="T9" s="6"/>
    </row>
    <row r="10" spans="1:20" x14ac:dyDescent="0.25">
      <c r="A10" t="s">
        <v>10</v>
      </c>
      <c r="B10" t="s">
        <v>8</v>
      </c>
      <c r="C10">
        <v>50</v>
      </c>
      <c r="E10" s="3" t="s">
        <v>0</v>
      </c>
      <c r="F10" s="3" t="s">
        <v>12</v>
      </c>
      <c r="G10" s="3" t="s">
        <v>13</v>
      </c>
      <c r="J10" t="b" cm="1">
        <f t="array" ref="J10:L13">_xlfn.ANCHORARRAY(J2)=_solution_</f>
        <v>1</v>
      </c>
      <c r="K10" t="b">
        <v>1</v>
      </c>
      <c r="L10" t="b">
        <v>1</v>
      </c>
      <c r="N10" t="b" cm="1">
        <f t="array" ref="N10:P13">tblSolution[#All]=_solution_</f>
        <v>1</v>
      </c>
      <c r="O10" t="b">
        <v>1</v>
      </c>
      <c r="P10" t="b">
        <v>1</v>
      </c>
      <c r="R10" t="b" cm="1">
        <f t="array" ref="R10:T13">_xlfn.ANCHORARRAY(R2)=_solution_</f>
        <v>1</v>
      </c>
      <c r="S10" t="b">
        <v>1</v>
      </c>
      <c r="T10" t="b">
        <v>1</v>
      </c>
    </row>
    <row r="11" spans="1:20" x14ac:dyDescent="0.25">
      <c r="A11" t="s">
        <v>10</v>
      </c>
      <c r="B11" t="s">
        <v>9</v>
      </c>
      <c r="C11">
        <v>70</v>
      </c>
      <c r="E11" t="s">
        <v>4</v>
      </c>
      <c r="F11" t="s">
        <v>14</v>
      </c>
      <c r="G11" t="s">
        <v>15</v>
      </c>
      <c r="J11" t="b">
        <v>1</v>
      </c>
      <c r="K11" t="b">
        <v>1</v>
      </c>
      <c r="L11" t="b">
        <v>1</v>
      </c>
      <c r="N11" t="b">
        <v>1</v>
      </c>
      <c r="O11" t="b">
        <v>1</v>
      </c>
      <c r="P11" t="b">
        <v>1</v>
      </c>
      <c r="R11" t="b">
        <v>1</v>
      </c>
      <c r="S11" t="b">
        <v>1</v>
      </c>
      <c r="T11" t="b">
        <v>1</v>
      </c>
    </row>
    <row r="12" spans="1:20" x14ac:dyDescent="0.25">
      <c r="A12" t="s">
        <v>16</v>
      </c>
      <c r="B12" t="s">
        <v>5</v>
      </c>
      <c r="C12">
        <v>88</v>
      </c>
      <c r="E12" t="s">
        <v>10</v>
      </c>
      <c r="F12" t="s">
        <v>17</v>
      </c>
      <c r="G12" t="s">
        <v>18</v>
      </c>
      <c r="J12" t="b">
        <v>1</v>
      </c>
      <c r="K12" t="b">
        <v>1</v>
      </c>
      <c r="L12" t="b">
        <v>1</v>
      </c>
      <c r="N12" t="b">
        <v>1</v>
      </c>
      <c r="O12" t="b">
        <v>1</v>
      </c>
      <c r="P12" t="b">
        <v>1</v>
      </c>
      <c r="R12" t="b">
        <v>1</v>
      </c>
      <c r="S12" t="b">
        <v>1</v>
      </c>
      <c r="T12" t="b">
        <v>1</v>
      </c>
    </row>
    <row r="13" spans="1:20" x14ac:dyDescent="0.25">
      <c r="A13" t="s">
        <v>16</v>
      </c>
      <c r="B13" t="s">
        <v>6</v>
      </c>
      <c r="C13">
        <v>50</v>
      </c>
      <c r="E13" t="s">
        <v>16</v>
      </c>
      <c r="F13" t="s">
        <v>19</v>
      </c>
      <c r="J13" t="b">
        <v>1</v>
      </c>
      <c r="K13" t="b">
        <v>1</v>
      </c>
      <c r="L13" t="b">
        <v>1</v>
      </c>
      <c r="N13" t="b">
        <v>1</v>
      </c>
      <c r="O13" t="b">
        <v>1</v>
      </c>
      <c r="P13" t="b">
        <v>1</v>
      </c>
      <c r="R13" t="b">
        <v>1</v>
      </c>
      <c r="S13" t="b">
        <v>1</v>
      </c>
      <c r="T13" t="b">
        <v>1</v>
      </c>
    </row>
    <row r="14" spans="1:20" x14ac:dyDescent="0.25">
      <c r="A14" t="s">
        <v>16</v>
      </c>
      <c r="B14" t="s">
        <v>7</v>
      </c>
      <c r="C14">
        <v>90</v>
      </c>
    </row>
    <row r="15" spans="1:20" x14ac:dyDescent="0.25">
      <c r="A15" t="s">
        <v>16</v>
      </c>
      <c r="B15" t="s">
        <v>8</v>
      </c>
      <c r="C15">
        <v>90</v>
      </c>
    </row>
    <row r="16" spans="1:20" x14ac:dyDescent="0.25">
      <c r="A16" t="s">
        <v>16</v>
      </c>
      <c r="B16" t="s">
        <v>9</v>
      </c>
      <c r="C16">
        <v>90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CE25A-A700-46E7-A704-95EDFD46467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921</vt:lpstr>
      <vt:lpstr>_solution_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Kopczyński, Maciej (ext)</cp:lastModifiedBy>
  <cp:revision/>
  <dcterms:created xsi:type="dcterms:W3CDTF">2015-06-05T18:17:20Z</dcterms:created>
  <dcterms:modified xsi:type="dcterms:W3CDTF">2026-02-25T15:40:44Z</dcterms:modified>
  <cp:category/>
  <cp:contentStatus/>
</cp:coreProperties>
</file>