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hidePivotFieldList="1"/>
  <mc:AlternateContent xmlns:mc="http://schemas.openxmlformats.org/markup-compatibility/2006">
    <mc:Choice Requires="x15">
      <x15ac:absPath xmlns:x15ac="http://schemas.microsoft.com/office/spreadsheetml/2010/11/ac" url="https://d.docs.live.net/29f448ec057303af/Pulpit/"/>
    </mc:Choice>
  </mc:AlternateContent>
  <xr:revisionPtr revIDLastSave="107" documentId="8_{CD1FB260-D0A1-4BB1-9509-AEF14B71586C}" xr6:coauthVersionLast="47" xr6:coauthVersionMax="47" xr10:uidLastSave="{97CE08F3-2C61-426D-B0A0-F0B4A7F7F968}"/>
  <bookViews>
    <workbookView xWindow="-120" yWindow="-120" windowWidth="51840" windowHeight="21120" xr2:uid="{00000000-000D-0000-FFFF-FFFF00000000}"/>
  </bookViews>
  <sheets>
    <sheet name="857" sheetId="1" r:id="rId1"/>
  </sheets>
  <definedNames>
    <definedName name="ExternalData_1" localSheetId="0" hidden="1">'857'!$G$2:$H$13</definedName>
    <definedName name="rngStart">'857'!$A$2:$A$62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a="1"/>
  <c r="K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0A35E0-FB51-44A0-9780-2A3B00633C47}" keepAlive="1" name="Zapytanie — tblSolution" description="Połączenie z zapytaniem „tblSolution” w skoroszycie." type="5" refreshedVersion="8" background="1" saveData="1">
    <dbPr connection="Provider=Microsoft.Mashup.OleDb.1;Data Source=$Workbook$;Location=tblSolution;Extended Properties=&quot;&quot;" command="SELECT * FROM [tblSol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<sst xmlns="http://schemas.openxmlformats.org/spreadsheetml/2006/main" count="88" uniqueCount="76">
  <si>
    <t>Answer Expected</t>
  </si>
  <si>
    <t>Salesperson,Month,Electronics,Furniture,Software,Services,Accessories,Total Sales</t>
  </si>
  <si>
    <t>Names</t>
  </si>
  <si>
    <t>Total Commission</t>
  </si>
  <si>
    <t>Jennifer Martinez,January,45000,0,32000,0,8000,85000</t>
  </si>
  <si>
    <t>Amanda Lee</t>
  </si>
  <si>
    <t>Jennifer Martinez,February,0,28000,55000,0,12000,95000</t>
  </si>
  <si>
    <t>Christopher Brown</t>
  </si>
  <si>
    <t>Jennifer Martinez,March,62000,0,0,48000,15000,125000</t>
  </si>
  <si>
    <t>David Park</t>
  </si>
  <si>
    <t>Jennifer Martinez,April,0,38000,42000,0,0,80000</t>
  </si>
  <si>
    <t>Emily Rodriguez</t>
  </si>
  <si>
    <t>Jennifer Martinez,May,72000,0,0,0,18000,90000</t>
  </si>
  <si>
    <t>James Wilson</t>
  </si>
  <si>
    <t>Jennifer Martinez,June,0,0,65000,45000,0,110000</t>
  </si>
  <si>
    <t>Jennifer Martinez</t>
  </si>
  <si>
    <t>Michael Chen,January,0,42000,0,35000,8000,85000</t>
  </si>
  <si>
    <t>Lisa Anderson</t>
  </si>
  <si>
    <t>Michael Chen,February,58000,0,42000,0,0,100000</t>
  </si>
  <si>
    <t>Michael Chen</t>
  </si>
  <si>
    <t>Michael Chen,March,0,0,78000,52000,0,130000</t>
  </si>
  <si>
    <t>Robert Taylor</t>
  </si>
  <si>
    <t>Michael Chen,April,45000,28000,0,0,12000,85000</t>
  </si>
  <si>
    <t>Sarah Johnson</t>
  </si>
  <si>
    <t>Michael Chen,May,0,0,92000,0,23000,115000</t>
  </si>
  <si>
    <t>Grand Total</t>
  </si>
  <si>
    <t>Michael Chen,June,68000,0,0,42000,0,110000</t>
  </si>
  <si>
    <t>Sarah Johnson,January,0,52000,38000,0,0,90000</t>
  </si>
  <si>
    <t>Sarah Johnson,February,72000,0,0,48000,15000,135000</t>
  </si>
  <si>
    <t>Sarah Johnson,March,0,0,55000,0,25000,80000</t>
  </si>
  <si>
    <t>Sarah Johnson,April,0,62000,0,58000,0,120000</t>
  </si>
  <si>
    <t>Sarah Johnson,May,85000,0,42000,0,0,127000</t>
  </si>
  <si>
    <t>Sarah Johnson,June,0,0,0,72000,28000,100000</t>
  </si>
  <si>
    <t>David Park,January,48000,0,0,32000,0,80000</t>
  </si>
  <si>
    <t>David Park,February,0,0,68000,42000,0,110000</t>
  </si>
  <si>
    <t>David Park,March,0,55000,0,0,18000,73000</t>
  </si>
  <si>
    <t>David Park,April,78000,0,52000,0,0,130000</t>
  </si>
  <si>
    <t>David Park,May,0,0,0,65000,22000,87000</t>
  </si>
  <si>
    <t>David Park,June,92000,0,48000,0,0,140000</t>
  </si>
  <si>
    <t>Emily Rodriguez,January,0,38000,0,45000,12000,95000</t>
  </si>
  <si>
    <t>Emily Rodriguez,February,65000,0,48000,0,0,113000</t>
  </si>
  <si>
    <t>Emily Rodriguez,March,0,0,82000,0,28000,110000</t>
  </si>
  <si>
    <t>Emily Rodriguez,April,0,58000,0,52000,0,110000</t>
  </si>
  <si>
    <t>Emily Rodriguez,May,72000,0,0,0,18000,90000</t>
  </si>
  <si>
    <t>Emily Rodriguez,June,0,0,95000,45000,0,140000</t>
  </si>
  <si>
    <t>James Wilson,January,52000,0,0,38000,0,90000</t>
  </si>
  <si>
    <t>James Wilson,February,0,0,72000,0,23000,95000</t>
  </si>
  <si>
    <t>James Wilson,March,0,65000,0,48000,0,113000</t>
  </si>
  <si>
    <t>James Wilson,April,85000,0,52000,0,0,137000</t>
  </si>
  <si>
    <t>James Wilson,May,0,0,0,78000,22000,100000</t>
  </si>
  <si>
    <t>James Wilson,June,0,48000,68000,0,0,116000</t>
  </si>
  <si>
    <t>Lisa Anderson,January,0,0,58000,42000,15000,115000</t>
  </si>
  <si>
    <t>Lisa Anderson,February,72000,0,0,0,18000,90000</t>
  </si>
  <si>
    <t>Lisa Anderson,March,0,55000,0,62000,0,117000</t>
  </si>
  <si>
    <t>Lisa Anderson,April,0,0,88000,0,27000,115000</t>
  </si>
  <si>
    <t>Lisa Anderson,May,82000,0,0,52000,0,134000</t>
  </si>
  <si>
    <t>Lisa Anderson,June,0,0,75000,48000,0,123000</t>
  </si>
  <si>
    <t>Robert Taylor,January,45000,32000,0,0,0,77000</t>
  </si>
  <si>
    <t>Robert Taylor,February,0,0,0,68000,22000,90000</t>
  </si>
  <si>
    <t>Robert Taylor,March,72000,0,48000,0,0,120000</t>
  </si>
  <si>
    <t>Robert Taylor,April,0,0,85000,0,28000,113000</t>
  </si>
  <si>
    <t>Robert Taylor,May,0,58000,0,52000,0,110000</t>
  </si>
  <si>
    <t>Robert Taylor,June,88000,0,0,0,22000,110000</t>
  </si>
  <si>
    <t>Amanda Lee,January,0,0,65000,48000,0,113000</t>
  </si>
  <si>
    <t>Amanda Lee,February,78000,0,0,0,17000,95000</t>
  </si>
  <si>
    <t>Amanda Lee,March,0,55000,0,62000,0,117000</t>
  </si>
  <si>
    <t>Amanda Lee,April,0,0,92000,0,28000,120000</t>
  </si>
  <si>
    <t>Amanda Lee,May,85000,0,0,58000,0,143000</t>
  </si>
  <si>
    <t>Amanda Lee,June,0,0,0,82000,28000,110000</t>
  </si>
  <si>
    <t>Christopher Brown,January,52000,0,38000,0,0,90000</t>
  </si>
  <si>
    <t>Christopher Brown,February,0,0,0,72000,23000,95000</t>
  </si>
  <si>
    <t>Christopher Brown,March,0,68000,0,0,27000,95000</t>
  </si>
  <si>
    <t>Christopher Brown,April,82000,0,55000,0,0,137000</t>
  </si>
  <si>
    <t>Christopher Brown,May,0,0,0,78000,0,78000</t>
  </si>
  <si>
    <t>Christopher Brown,June,0,58000,72000,0,0,130000</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</si>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</sst>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horizontal="centerContinuous"/>
    </xf>
    <xf numFmtId="0" fontId="0" fillId="2" borderId="0" xfId="0" applyFill="1" applyAlignment="1">
      <alignment horizontal="centerContinuous"/>
    </xf>
    <xf numFmtId="0" fontId="1" fillId="2" borderId="0" xfId="0" applyFont="1" applyFill="1"/>
    <xf numFmtId="0" fontId="1" fillId="3" borderId="0" xfId="0" applyFont="1" applyFill="1"/>
    <xf numFmtId="9" fontId="0" fillId="0" borderId="0" xfId="0" applyNumberFormat="1"/>
  </cellXfs>
  <cellStyles count="1">
    <cellStyle name="Normalny" xfId="0" builtinId="0"/>
  </cellStyles>
  <dxfs count="0"/>
  <tableStyles count="1" defaultTableStyle="TableStyleMedium2" defaultPivotStyle="PivotStyleLight16">
    <tableStyle name="Invisible" pivot="0" table="0" count="0" xr9:uid="{5E1F6822-DF3A-4FE3-868D-E969FCD8E0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400050</xdr:colOff>
      <xdr:row>0</xdr:row>
      <xdr:rowOff>3175</xdr:rowOff>
    </xdr:from>
    <xdr:to>
      <xdr:col>25</xdr:col>
      <xdr:colOff>203200</xdr:colOff>
      <xdr:row>22</xdr:row>
      <xdr:rowOff>34925</xdr:rowOff>
    </xdr:to>
    <xdr:sp macro="" textlink="">
      <xdr:nvSpPr>
        <xdr:cNvPr id="3" name="Rectangle: Rounded Corners 2">
          <a:extLst>
            <a:ext uri="{FF2B5EF4-FFF2-40B4-BE49-F238E27FC236}">
              <a16:creationId xmlns:a16="http://schemas.microsoft.com/office/drawing/2014/main" id="{E18A0C1D-B81C-2860-5F4F-48EFBA8C75E0}"/>
            </a:ext>
          </a:extLst>
        </xdr:cNvPr>
        <xdr:cNvSpPr/>
      </xdr:nvSpPr>
      <xdr:spPr>
        <a:xfrm>
          <a:off x="15944850" y="3175"/>
          <a:ext cx="5899150" cy="42227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the given comma separated data, find the total commission for each Salesperson. You will need to calculate monthly commissions on the basis of Total Sales and then sum the monthly commissions.</a:t>
          </a:r>
        </a:p>
        <a:p>
          <a:pPr algn="l"/>
          <a:r>
            <a:rPr lang="en-IN" sz="1200" b="1"/>
            <a:t>Put a grand total row at the end.</a:t>
          </a:r>
        </a:p>
        <a:p>
          <a:pPr algn="l"/>
          <a:r>
            <a:rPr lang="en-IN" sz="1200" b="1"/>
            <a:t>This is a tiered commission system like tiered income tax, electricity bill calculation.</a:t>
          </a:r>
        </a:p>
        <a:p>
          <a:pPr algn="l"/>
          <a:r>
            <a:rPr lang="en-IN" sz="1200" b="1"/>
            <a:t>Commission Tiers:</a:t>
          </a:r>
        </a:p>
        <a:p>
          <a:pPr algn="l"/>
          <a:r>
            <a:rPr lang="en-IN" sz="1200" b="1"/>
            <a:t>0-50k sales: 5% commission</a:t>
          </a:r>
        </a:p>
        <a:p>
          <a:pPr algn="l"/>
          <a:r>
            <a:rPr lang="en-IN" sz="1200" b="1"/>
            <a:t>50k-100k: 7% on amounts above 50k</a:t>
          </a:r>
        </a:p>
        <a:p>
          <a:pPr algn="l"/>
          <a:r>
            <a:rPr lang="en-IN" sz="1200" b="1"/>
            <a:t>100k-200k: 10% on amounts above 100k</a:t>
          </a:r>
        </a:p>
        <a:p>
          <a:pPr algn="l"/>
          <a:r>
            <a:rPr lang="en-IN" sz="1200" b="1"/>
            <a:t>200k+: 15% on amounts above 200k</a:t>
          </a:r>
        </a:p>
        <a:p>
          <a:pPr algn="l"/>
          <a:r>
            <a:rPr lang="en-IN" sz="1200" b="1"/>
            <a:t>Hence, for example if Total Sales is 120000.</a:t>
          </a:r>
        </a:p>
        <a:p>
          <a:pPr algn="l"/>
          <a:r>
            <a:rPr lang="en-IN" sz="1200" b="1"/>
            <a:t>Then First 50K will earn = 50000*5% = 2500</a:t>
          </a:r>
        </a:p>
        <a:p>
          <a:pPr algn="l"/>
          <a:r>
            <a:rPr lang="en-IN" sz="1200" b="1"/>
            <a:t>50K to 100K will earn = (100000-50000)*7% = 3500</a:t>
          </a:r>
        </a:p>
        <a:p>
          <a:pPr algn="l"/>
          <a:r>
            <a:rPr lang="en-IN" sz="1200" b="1"/>
            <a:t>100K to 120K will earn = (120000-100000)*10% = 2000</a:t>
          </a:r>
        </a:p>
        <a:p>
          <a:pPr algn="l"/>
          <a:r>
            <a:rPr lang="en-IN" sz="1200" b="1"/>
            <a:t>Total: 2500+3500+2000 = 8000</a:t>
          </a:r>
        </a:p>
      </xdr:txBody>
    </xdr:sp>
    <xdr:clientData/>
  </xdr:twoCellAnchor>
  <xdr:twoCellAnchor editAs="oneCell">
    <xdr:from>
      <xdr:col>21</xdr:col>
      <xdr:colOff>250825</xdr:colOff>
      <xdr:row>17</xdr:row>
      <xdr:rowOff>187325</xdr:rowOff>
    </xdr:from>
    <xdr:to>
      <xdr:col>23</xdr:col>
      <xdr:colOff>111125</xdr:colOff>
      <xdr:row>19</xdr:row>
      <xdr:rowOff>130175</xdr:rowOff>
    </xdr:to>
    <xdr:pic>
      <xdr:nvPicPr>
        <xdr:cNvPr id="4" name="Picture 3">
          <a:extLst>
            <a:ext uri="{FF2B5EF4-FFF2-40B4-BE49-F238E27FC236}">
              <a16:creationId xmlns:a16="http://schemas.microsoft.com/office/drawing/2014/main" id="{9139C386-5B26-43AF-90CC-F9240A8B5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9453225" y="3425825"/>
          <a:ext cx="10795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E75348-6F1E-4199-A1B0-FC7189F2C2D5}" autoFormatId="16" applyNumberFormats="0" applyBorderFormats="0" applyFontFormats="0" applyPatternFormats="0" applyAlignmentFormats="0" applyWidthHeightFormats="0">
  <queryTableRefresh nextId="3">
    <queryTableFields count="2">
      <queryTableField id="1" name="Salesperson" tableColumnId="1"/>
      <queryTableField id="2" name="Total Commission"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A90C2-6F26-42D0-93C8-54FCE57812E2}" name="tblSolution" displayName="tblSolution" ref="G2:H13" tableType="queryTable" totalsRowShown="0">
  <autoFilter ref="G2:H13" xr:uid="{114A90C2-6F26-42D0-93C8-54FCE57812E2}"/>
  <tableColumns count="2">
    <tableColumn id="1" xr3:uid="{E3B76A05-3FDD-44AC-A2FF-43744122A832}" uniqueName="1" name="Salesperson" queryTableFieldId="1"/>
    <tableColumn id="2" xr3:uid="{9D0DA83B-744B-455B-B85E-24B075444430}" uniqueName="2" name="Total Commission"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2"/>
  <sheetViews>
    <sheetView tabSelected="1" workbookViewId="0">
      <selection activeCell="AB17" sqref="AB17"/>
    </sheetView>
  </sheetViews>
  <sheetFormatPr defaultRowHeight="15" x14ac:dyDescent="0.25"/>
  <cols>
    <col min="1" max="1" width="70" customWidth="1"/>
    <col min="3" max="3" width="16.5703125" bestFit="1" customWidth="1"/>
    <col min="4" max="4" width="15.85546875" bestFit="1" customWidth="1"/>
    <col min="7" max="7" width="17.85546875" bestFit="1" customWidth="1"/>
    <col min="8" max="8" width="19.140625" bestFit="1" customWidth="1"/>
    <col min="13" max="13" width="11.42578125" bestFit="1" customWidth="1"/>
  </cols>
  <sheetData>
    <row r="1" spans="1:12" x14ac:dyDescent="0.25">
      <c r="C1" s="2" t="s">
        <v>0</v>
      </c>
      <c r="D1" s="3"/>
    </row>
    <row r="2" spans="1:12" x14ac:dyDescent="0.25">
      <c r="A2" s="5" t="s">
        <v>1</v>
      </c>
      <c r="C2" s="4" t="s">
        <v>2</v>
      </c>
      <c r="D2" s="4" t="s">
        <v>3</v>
      </c>
      <c r="G2" t="s">
        <v>75</v>
      </c>
      <c r="H2" t="s">
        <v>3</v>
      </c>
      <c r="K2" t="b" cm="1">
        <f t="array" ref="K2:L13">tblSolution[#All]=C2:D13</f>
        <v>0</v>
      </c>
      <c r="L2" t="b">
        <v>1</v>
      </c>
    </row>
    <row r="3" spans="1:12" x14ac:dyDescent="0.25">
      <c r="A3" t="s">
        <v>4</v>
      </c>
      <c r="C3" t="s">
        <v>5</v>
      </c>
      <c r="D3">
        <v>45950</v>
      </c>
      <c r="G3" t="s">
        <v>5</v>
      </c>
      <c r="H3">
        <v>45950</v>
      </c>
      <c r="K3" t="b">
        <v>1</v>
      </c>
      <c r="L3" t="b">
        <v>1</v>
      </c>
    </row>
    <row r="4" spans="1:12" x14ac:dyDescent="0.25">
      <c r="A4" t="s">
        <v>6</v>
      </c>
      <c r="C4" t="s">
        <v>7</v>
      </c>
      <c r="D4">
        <v>39760</v>
      </c>
      <c r="G4" t="s">
        <v>7</v>
      </c>
      <c r="H4">
        <v>39760</v>
      </c>
      <c r="K4" t="b">
        <v>1</v>
      </c>
      <c r="L4" t="b">
        <v>1</v>
      </c>
    </row>
    <row r="5" spans="1:12" x14ac:dyDescent="0.25">
      <c r="A5" t="s">
        <v>8</v>
      </c>
      <c r="C5" t="s">
        <v>9</v>
      </c>
      <c r="D5">
        <v>39800</v>
      </c>
      <c r="G5" t="s">
        <v>9</v>
      </c>
      <c r="H5">
        <v>39800</v>
      </c>
      <c r="K5" t="b">
        <v>1</v>
      </c>
      <c r="L5" t="b">
        <v>1</v>
      </c>
    </row>
    <row r="6" spans="1:12" x14ac:dyDescent="0.25">
      <c r="A6" t="s">
        <v>10</v>
      </c>
      <c r="C6" t="s">
        <v>11</v>
      </c>
      <c r="D6">
        <v>42250</v>
      </c>
      <c r="G6" t="s">
        <v>11</v>
      </c>
      <c r="H6">
        <v>42250</v>
      </c>
      <c r="K6" t="b">
        <v>1</v>
      </c>
      <c r="L6" t="b">
        <v>1</v>
      </c>
    </row>
    <row r="7" spans="1:12" x14ac:dyDescent="0.25">
      <c r="A7" t="s">
        <v>12</v>
      </c>
      <c r="C7" t="s">
        <v>13</v>
      </c>
      <c r="D7">
        <v>41550</v>
      </c>
      <c r="G7" t="s">
        <v>13</v>
      </c>
      <c r="H7">
        <v>41550</v>
      </c>
      <c r="K7" t="b">
        <v>1</v>
      </c>
      <c r="L7" t="b">
        <v>1</v>
      </c>
    </row>
    <row r="8" spans="1:12" x14ac:dyDescent="0.25">
      <c r="A8" t="s">
        <v>14</v>
      </c>
      <c r="C8" t="s">
        <v>15</v>
      </c>
      <c r="D8">
        <v>36000</v>
      </c>
      <c r="G8" t="s">
        <v>15</v>
      </c>
      <c r="H8">
        <v>36000</v>
      </c>
      <c r="K8" t="b">
        <v>1</v>
      </c>
      <c r="L8" t="b">
        <v>1</v>
      </c>
    </row>
    <row r="9" spans="1:12" x14ac:dyDescent="0.25">
      <c r="A9" t="s">
        <v>16</v>
      </c>
      <c r="C9" t="s">
        <v>17</v>
      </c>
      <c r="D9">
        <v>45700</v>
      </c>
      <c r="G9" t="s">
        <v>17</v>
      </c>
      <c r="H9">
        <v>45700</v>
      </c>
      <c r="K9" t="b">
        <v>1</v>
      </c>
      <c r="L9" t="b">
        <v>1</v>
      </c>
    </row>
    <row r="10" spans="1:12" x14ac:dyDescent="0.25">
      <c r="A10" t="s">
        <v>18</v>
      </c>
      <c r="C10" t="s">
        <v>19</v>
      </c>
      <c r="D10">
        <v>39400</v>
      </c>
      <c r="G10" t="s">
        <v>19</v>
      </c>
      <c r="H10">
        <v>39400</v>
      </c>
      <c r="K10" t="b">
        <v>1</v>
      </c>
      <c r="L10" t="b">
        <v>1</v>
      </c>
    </row>
    <row r="11" spans="1:12" x14ac:dyDescent="0.25">
      <c r="A11" t="s">
        <v>20</v>
      </c>
      <c r="C11" t="s">
        <v>21</v>
      </c>
      <c r="D11">
        <v>38990</v>
      </c>
      <c r="G11" t="s">
        <v>21</v>
      </c>
      <c r="H11">
        <v>38990</v>
      </c>
      <c r="K11" t="b">
        <v>1</v>
      </c>
      <c r="L11" t="b">
        <v>1</v>
      </c>
    </row>
    <row r="12" spans="1:12" x14ac:dyDescent="0.25">
      <c r="A12" t="s">
        <v>22</v>
      </c>
      <c r="C12" t="s">
        <v>23</v>
      </c>
      <c r="D12">
        <v>42100</v>
      </c>
      <c r="G12" t="s">
        <v>23</v>
      </c>
      <c r="H12">
        <v>42100</v>
      </c>
      <c r="K12" t="b">
        <v>1</v>
      </c>
      <c r="L12" t="b">
        <v>1</v>
      </c>
    </row>
    <row r="13" spans="1:12" x14ac:dyDescent="0.25">
      <c r="A13" t="s">
        <v>24</v>
      </c>
      <c r="C13" s="1" t="s">
        <v>25</v>
      </c>
      <c r="D13" s="1">
        <v>411500</v>
      </c>
      <c r="G13" t="s">
        <v>25</v>
      </c>
      <c r="H13">
        <v>411500</v>
      </c>
      <c r="K13" t="b">
        <v>1</v>
      </c>
      <c r="L13" t="b">
        <v>1</v>
      </c>
    </row>
    <row r="14" spans="1:12" x14ac:dyDescent="0.25">
      <c r="A14" t="s">
        <v>26</v>
      </c>
    </row>
    <row r="15" spans="1:12" x14ac:dyDescent="0.25">
      <c r="A15" t="s">
        <v>27</v>
      </c>
    </row>
    <row r="16" spans="1:12" x14ac:dyDescent="0.25">
      <c r="A16" t="s">
        <v>28</v>
      </c>
    </row>
    <row r="17" spans="1:19" x14ac:dyDescent="0.25">
      <c r="A17" t="s">
        <v>29</v>
      </c>
    </row>
    <row r="18" spans="1:19" x14ac:dyDescent="0.25">
      <c r="A18" t="s">
        <v>30</v>
      </c>
    </row>
    <row r="19" spans="1:19" x14ac:dyDescent="0.25">
      <c r="A19" t="s">
        <v>31</v>
      </c>
      <c r="P19" s="6"/>
      <c r="Q19" s="6"/>
      <c r="R19" s="6"/>
      <c r="S19" s="6"/>
    </row>
    <row r="20" spans="1:19" x14ac:dyDescent="0.25">
      <c r="A20" t="s">
        <v>32</v>
      </c>
    </row>
    <row r="21" spans="1:19" x14ac:dyDescent="0.25">
      <c r="A21" t="s">
        <v>33</v>
      </c>
    </row>
    <row r="22" spans="1:19" x14ac:dyDescent="0.25">
      <c r="A22" t="s">
        <v>34</v>
      </c>
    </row>
    <row r="23" spans="1:19" x14ac:dyDescent="0.25">
      <c r="A23" t="s">
        <v>35</v>
      </c>
    </row>
    <row r="24" spans="1:19" x14ac:dyDescent="0.25">
      <c r="A24" t="s">
        <v>36</v>
      </c>
    </row>
    <row r="25" spans="1:19" x14ac:dyDescent="0.25">
      <c r="A25" t="s">
        <v>37</v>
      </c>
    </row>
    <row r="26" spans="1:19" x14ac:dyDescent="0.25">
      <c r="A26" t="s">
        <v>38</v>
      </c>
    </row>
    <row r="27" spans="1:19" x14ac:dyDescent="0.25">
      <c r="A27" t="s">
        <v>39</v>
      </c>
    </row>
    <row r="28" spans="1:19" x14ac:dyDescent="0.25">
      <c r="A28" t="s">
        <v>40</v>
      </c>
    </row>
    <row r="29" spans="1:19" x14ac:dyDescent="0.25">
      <c r="A29" t="s">
        <v>41</v>
      </c>
    </row>
    <row r="30" spans="1:19" x14ac:dyDescent="0.25">
      <c r="A30" t="s">
        <v>42</v>
      </c>
    </row>
    <row r="31" spans="1:19" x14ac:dyDescent="0.25">
      <c r="A31" t="s">
        <v>43</v>
      </c>
    </row>
    <row r="32" spans="1:19" x14ac:dyDescent="0.25">
      <c r="A32" t="s">
        <v>44</v>
      </c>
    </row>
    <row r="33" spans="1:1" x14ac:dyDescent="0.25">
      <c r="A33" t="s">
        <v>45</v>
      </c>
    </row>
    <row r="34" spans="1:1" x14ac:dyDescent="0.25">
      <c r="A34" t="s">
        <v>46</v>
      </c>
    </row>
    <row r="35" spans="1:1" x14ac:dyDescent="0.25">
      <c r="A35" t="s">
        <v>47</v>
      </c>
    </row>
    <row r="36" spans="1:1" x14ac:dyDescent="0.25">
      <c r="A36" t="s">
        <v>48</v>
      </c>
    </row>
    <row r="37" spans="1:1" x14ac:dyDescent="0.25">
      <c r="A37" t="s">
        <v>49</v>
      </c>
    </row>
    <row r="38" spans="1:1" x14ac:dyDescent="0.25">
      <c r="A38" t="s">
        <v>50</v>
      </c>
    </row>
    <row r="39" spans="1:1" x14ac:dyDescent="0.25">
      <c r="A39" t="s">
        <v>51</v>
      </c>
    </row>
    <row r="40" spans="1:1" x14ac:dyDescent="0.25">
      <c r="A40" t="s">
        <v>52</v>
      </c>
    </row>
    <row r="41" spans="1:1" x14ac:dyDescent="0.25">
      <c r="A41" t="s">
        <v>53</v>
      </c>
    </row>
    <row r="42" spans="1:1" x14ac:dyDescent="0.25">
      <c r="A42" t="s">
        <v>54</v>
      </c>
    </row>
    <row r="43" spans="1:1" x14ac:dyDescent="0.25">
      <c r="A43" t="s">
        <v>55</v>
      </c>
    </row>
    <row r="44" spans="1:1" x14ac:dyDescent="0.25">
      <c r="A44" t="s">
        <v>56</v>
      </c>
    </row>
    <row r="45" spans="1:1" x14ac:dyDescent="0.25">
      <c r="A45" t="s">
        <v>57</v>
      </c>
    </row>
    <row r="46" spans="1:1" x14ac:dyDescent="0.25">
      <c r="A46" t="s">
        <v>58</v>
      </c>
    </row>
    <row r="47" spans="1:1" x14ac:dyDescent="0.25">
      <c r="A47" t="s">
        <v>59</v>
      </c>
    </row>
    <row r="48" spans="1:1" x14ac:dyDescent="0.25">
      <c r="A48" t="s">
        <v>60</v>
      </c>
    </row>
    <row r="49" spans="1:1" x14ac:dyDescent="0.25">
      <c r="A49" t="s">
        <v>61</v>
      </c>
    </row>
    <row r="50" spans="1:1" x14ac:dyDescent="0.25">
      <c r="A50" t="s">
        <v>62</v>
      </c>
    </row>
    <row r="51" spans="1:1" x14ac:dyDescent="0.25">
      <c r="A51" t="s">
        <v>63</v>
      </c>
    </row>
    <row r="52" spans="1:1" x14ac:dyDescent="0.25">
      <c r="A52" t="s">
        <v>64</v>
      </c>
    </row>
    <row r="53" spans="1:1" x14ac:dyDescent="0.25">
      <c r="A53" t="s">
        <v>65</v>
      </c>
    </row>
    <row r="54" spans="1:1" x14ac:dyDescent="0.25">
      <c r="A54" t="s">
        <v>66</v>
      </c>
    </row>
    <row r="55" spans="1:1" x14ac:dyDescent="0.25">
      <c r="A55" t="s">
        <v>67</v>
      </c>
    </row>
    <row r="56" spans="1:1" x14ac:dyDescent="0.25">
      <c r="A56" t="s">
        <v>68</v>
      </c>
    </row>
    <row r="57" spans="1:1" x14ac:dyDescent="0.25">
      <c r="A57" t="s">
        <v>69</v>
      </c>
    </row>
    <row r="58" spans="1:1" x14ac:dyDescent="0.25">
      <c r="A58" t="s">
        <v>70</v>
      </c>
    </row>
    <row r="59" spans="1:1" x14ac:dyDescent="0.25">
      <c r="A59" t="s">
        <v>71</v>
      </c>
    </row>
    <row r="60" spans="1:1" x14ac:dyDescent="0.25">
      <c r="A60" t="s">
        <v>72</v>
      </c>
    </row>
    <row r="61" spans="1:1" x14ac:dyDescent="0.25">
      <c r="A61" t="s">
        <v>73</v>
      </c>
    </row>
    <row r="62" spans="1:1" x14ac:dyDescent="0.25">
      <c r="A62" t="s">
        <v>74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D33713-5FC2-4DD0-B99C-47F8577647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1</vt:i4>
      </vt:variant>
      <vt:variant>
        <vt:lpstr>Nazwane zakresy</vt:lpstr>
      </vt:variant>
      <vt:variant>
        <vt:i4>1</vt:i4>
      </vt:variant>
    </vt:vector>
  </HeadingPairs>
  <TitlesOfParts>
    <vt:vector size="2" baseType="lpstr">
      <vt:lpstr>857</vt:lpstr>
      <vt:lpstr>rngStart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Maciej Kopczyński</cp:lastModifiedBy>
  <cp:revision/>
  <dcterms:created xsi:type="dcterms:W3CDTF">2015-06-05T18:17:20Z</dcterms:created>
  <dcterms:modified xsi:type="dcterms:W3CDTF">2025-11-27T19:55:31Z</dcterms:modified>
  <cp:category/>
  <cp:contentStatus/>
</cp:coreProperties>
</file>